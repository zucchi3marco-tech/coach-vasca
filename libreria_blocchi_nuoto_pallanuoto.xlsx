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truzioni" sheetId="1" state="visible" r:id="rId3"/>
    <sheet name="Blocchi" sheetId="2" state="visible" r:id="rId4"/>
    <sheet name="Legenda" sheetId="3" state="visible" r:id="rId5"/>
    <sheet name="Parti" sheetId="4" state="visible" r:id="rId6"/>
  </sheets>
  <definedNames>
    <definedName function="false" hidden="true" localSheetId="1" name="_xlnm._FilterDatabase" vbProcedure="false">Blocchi!$A$1:$O$351</definedName>
    <definedName function="false" hidden="true" localSheetId="3" name="_xlnm._FilterDatabase" vbProcedure="false">Parti!$A$1:$L$390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<sst xmlns="http://schemas.openxmlformats.org/spreadsheetml/2006/main" count="5613" uniqueCount="1441">
  <si>
    <t xml:space="preserve">Libreria blocchi di allenamento – Nuoto e Pallanuoto</t>
  </si>
  <si>
    <t xml:space="preserve">Come è fatto questo file</t>
  </si>
  <si>
    <t xml:space="preserve">• Foglio «Blocchi»: un blocco per riga (titolo, sport, fase, obiettivo, livelli, attrezzi, stato).</t>
  </si>
  <si>
    <t xml:space="preserve">• Foglio «Parti»: le serie di ogni blocco, una per riga, collegate al blocco tramite l'ID (colonna A). È il dettaglio che l'app importa.</t>
  </si>
  <si>
    <t xml:space="preserve">• Foglio «Legenda»: zone di intensità, elenchi dei valori ammessi e il passo medio usato per stimare la durata.</t>
  </si>
  <si>
    <t xml:space="preserve">Come modificarlo</t>
  </si>
  <si>
    <t xml:space="preserve">• Puoi cambiare, aggiungere o cancellare qualsiasi riga. Le colonne con sfondo grigio (Metri totali, Durata stimata) si calcolano da sole: non scriverci dentro.</t>
  </si>
  <si>
    <t xml:space="preserve">• Nuovo blocco: aggiungi una riga in «Blocchi» con un ID nuovo (es. N-300, P-120) e una o più righe in «Parti» con lo stesso ID.</t>
  </si>
  <si>
    <t xml:space="preserve">• Giri = quante volte si ripete il gruppo di parti (es. 4x(3x100) → Giri 4, Ripetizioni 3, Distanza 100).</t>
  </si>
  <si>
    <t xml:space="preserve">• Lavori a tempo (pallanuoto, gambe, a secco): lascia vuota la Distanza e compila la Durata in secondi.</t>
  </si>
  <si>
    <t xml:space="preserve">• Recupero in secondi: è la pausa indicativa. Le ripartenze precise le calcola l'app dai test degli atleti e dalla zona.</t>
  </si>
  <si>
    <t xml:space="preserve">• La colonna «Descrizione» è un riassunto da leggere: se cambi le Parti, aggiornala a mano (fa fede il foglio Parti).</t>
  </si>
  <si>
    <t xml:space="preserve">• Stato: «approvato» = l'AI lo può usare; «bozza» = escluso finché non lo approvi. Metti «bozza» sui blocchi che non ti convincono.</t>
  </si>
  <si>
    <t xml:space="preserve">• Sport «Entrambi»: il blocco può essere usato sia per il nuoto sia per la pallanuoto. Molti blocchi con ID N- sono «Entrambi»: l'ID non cambia, decide solo la colonna Sport.</t>
  </si>
  <si>
    <t xml:space="preserve">• Corrispondenza livelli per la pallanuoto: Under 12 = Esordienti; Under 14 = Ragazzi; Under 16, Under 18 e Senior = Assoluti; Master = Master.</t>
  </si>
  <si>
    <t xml:space="preserve">Esempio di riga in «Parti»</t>
  </si>
  <si>
    <t xml:space="preserve">N-001 | ordine 1 | giri 1 | ripetizioni 1 | 200 m | durata vuota | Stile libero | sciolto | A1 | recupero 0</t>
  </si>
  <si>
    <t xml:space="preserve">Nota: è una libreria di base generica, da adattare al tuo metodo. Zone, recuperi e livelli sono indicativi.</t>
  </si>
  <si>
    <t xml:space="preserve">ID</t>
  </si>
  <si>
    <t xml:space="preserve">Sport</t>
  </si>
  <si>
    <t xml:space="preserve">Fase</t>
  </si>
  <si>
    <t xml:space="preserve">Obiettivo</t>
  </si>
  <si>
    <t xml:space="preserve">Zone</t>
  </si>
  <si>
    <t xml:space="preserve">Titolo</t>
  </si>
  <si>
    <t xml:space="preserve">Descrizione</t>
  </si>
  <si>
    <t xml:space="preserve">Stile principale</t>
  </si>
  <si>
    <t xml:space="preserve">Livelli / categorie</t>
  </si>
  <si>
    <t xml:space="preserve">Attrezzi</t>
  </si>
  <si>
    <t xml:space="preserve">Metri totali</t>
  </si>
  <si>
    <t xml:space="preserve">Durata stimata (min)</t>
  </si>
  <si>
    <t xml:space="preserve">Note per l'allenatore</t>
  </si>
  <si>
    <t xml:space="preserve">Stato</t>
  </si>
  <si>
    <t xml:space="preserve">Fonte</t>
  </si>
  <si>
    <t xml:space="preserve">N-001</t>
  </si>
  <si>
    <t xml:space="preserve">Entrambi</t>
  </si>
  <si>
    <t xml:space="preserve">Riscaldamento</t>
  </si>
  <si>
    <t xml:space="preserve">Recupero</t>
  </si>
  <si>
    <t xml:space="preserve">A1</t>
  </si>
  <si>
    <t xml:space="preserve">400 misto sciolto</t>
  </si>
  <si>
    <t xml:space="preserve">200 SL sciolto [A1] + 100 DO sciolto [A1] + 100 RA sciolto [A1]</t>
  </si>
  <si>
    <t xml:space="preserve">Vari</t>
  </si>
  <si>
    <t xml:space="preserve">Ragazzi, Assoluti, Master</t>
  </si>
  <si>
    <t xml:space="preserve">approvato</t>
  </si>
  <si>
    <t xml:space="preserve">Libreria base</t>
  </si>
  <si>
    <t xml:space="preserve">N-002</t>
  </si>
  <si>
    <t xml:space="preserve">Aerobico</t>
  </si>
  <si>
    <t xml:space="preserve">300 SL respirazione 3-5-7</t>
  </si>
  <si>
    <t xml:space="preserve">3x100 SL respirazione ogni 3-5-7 bracciate per 25 [A1] rec 10"</t>
  </si>
  <si>
    <t xml:space="preserve">Stile libero</t>
  </si>
  <si>
    <t xml:space="preserve">N-003</t>
  </si>
  <si>
    <t xml:space="preserve">8x50 misti ordine inverso</t>
  </si>
  <si>
    <t xml:space="preserve">8x50 MX 25 stile + 25 stile successivo, ordine inverso [A1] rec 15"</t>
  </si>
  <si>
    <t xml:space="preserve">Misti</t>
  </si>
  <si>
    <t xml:space="preserve">Ragazzi, Assoluti</t>
  </si>
  <si>
    <t xml:space="preserve">N-004</t>
  </si>
  <si>
    <t xml:space="preserve">3x200 variato</t>
  </si>
  <si>
    <t xml:space="preserve">200 SL [A1] rec 20" + 200 DO [A1] rec 20" + 200 MX sciolto [A1]</t>
  </si>
  <si>
    <t xml:space="preserve">N-005</t>
  </si>
  <si>
    <t xml:space="preserve">400 SL progressivo per 100</t>
  </si>
  <si>
    <t xml:space="preserve">4x100 SL progressivo per 100 (da A1 ad A2) [A1] rec 10"</t>
  </si>
  <si>
    <t xml:space="preserve">N-006</t>
  </si>
  <si>
    <t xml:space="preserve">600 variato gambe/braccia</t>
  </si>
  <si>
    <t xml:space="preserve">200 SL [A1] rec 20" + 4x50 scelta gambe [A1] rec 15" (Tavoletta) + 4x50 SL braccia [A1] rec 15" (Pull buoy)</t>
  </si>
  <si>
    <t xml:space="preserve">Pull buoy, Tavoletta</t>
  </si>
  <si>
    <t xml:space="preserve">N-007</t>
  </si>
  <si>
    <t xml:space="preserve">Riscaldamento esordienti 300</t>
  </si>
  <si>
    <t xml:space="preserve">100 SL [A1] rec 20" + 100 DO [A1] rec 20" + 4x25 scelta tecnica a scelta [A1] rec 20"</t>
  </si>
  <si>
    <t xml:space="preserve">Esordienti</t>
  </si>
  <si>
    <t xml:space="preserve">N-008</t>
  </si>
  <si>
    <t xml:space="preserve">Nuoto</t>
  </si>
  <si>
    <t xml:space="preserve">4x50 dorso/SL esordienti</t>
  </si>
  <si>
    <t xml:space="preserve">4x50 MX 25 dorso + 25 SL [A1] rec 20"</t>
  </si>
  <si>
    <t xml:space="preserve">N-009</t>
  </si>
  <si>
    <t xml:space="preserve">Riscaldamento master 500</t>
  </si>
  <si>
    <t xml:space="preserve">300 scelta sciolto [A1] rec 30" + 4x50 MX sciolto [A1] rec 20"</t>
  </si>
  <si>
    <t xml:space="preserve">Master</t>
  </si>
  <si>
    <t xml:space="preserve">N-010</t>
  </si>
  <si>
    <t xml:space="preserve">4x100 SL + stile del giorno</t>
  </si>
  <si>
    <t xml:space="preserve">4x100 MX 50 SL + 50 stile del giorno [A1] rec 15"</t>
  </si>
  <si>
    <t xml:space="preserve">N-011</t>
  </si>
  <si>
    <t xml:space="preserve">800 continuo variato</t>
  </si>
  <si>
    <t xml:space="preserve">200 SL [A1] + 200 DO [A1] + 200 scelta gambe [A1] (Pinne) + 200 SL [A1]</t>
  </si>
  <si>
    <t xml:space="preserve">Assoluti</t>
  </si>
  <si>
    <t xml:space="preserve">Pinne</t>
  </si>
  <si>
    <t xml:space="preserve">N-012</t>
  </si>
  <si>
    <t xml:space="preserve">6x100 SL/DO progressivo</t>
  </si>
  <si>
    <t xml:space="preserve">6x100 MX dispari SL, pari dorso, progressivo per serie [A1] rec 15"</t>
  </si>
  <si>
    <t xml:space="preserve">N-013</t>
  </si>
  <si>
    <t xml:space="preserve">Tecnica</t>
  </si>
  <si>
    <t xml:space="preserve">Riscaldamento rana</t>
  </si>
  <si>
    <t xml:space="preserve">200 SL [A1] rec 20" + 4x50 RA 2 gambate 1 bracciata [A1] rec 15" + 4x50 RA nuotato [A1] rec 15"</t>
  </si>
  <si>
    <t xml:space="preserve">N-014</t>
  </si>
  <si>
    <t xml:space="preserve">Riscaldamento delfino</t>
  </si>
  <si>
    <t xml:space="preserve">300 SL [A1] rec 20" + 6x25 DF braccio singolo dx/sx [A1] rec 15" (Pinne) + 4x25 DF nuotato [A1] rec 20"</t>
  </si>
  <si>
    <t xml:space="preserve">N-015</t>
  </si>
  <si>
    <t xml:space="preserve">Riscaldamento dorso</t>
  </si>
  <si>
    <t xml:space="preserve">200 SL [A1] rec 20" + 4x50 DO braccio singolo / doppio braccio [A1] rec 15" + 4x50 DO nuotato [A1] rec 15"</t>
  </si>
  <si>
    <t xml:space="preserve">N-016</t>
  </si>
  <si>
    <t xml:space="preserve">Velocità</t>
  </si>
  <si>
    <t xml:space="preserve">A1 / A2 / RG / V</t>
  </si>
  <si>
    <t xml:space="preserve">Riscaldamento pre-gara</t>
  </si>
  <si>
    <t xml:space="preserve">400 scelta sciolto [A1] rec 30" + 4x50 SL progressivi [A2] rec 20" + 4x25 scelta ritmo gara [RG] rec 40" + 2x15 scelta sprint dal blocco [V] rec 1'</t>
  </si>
  <si>
    <t xml:space="preserve">Da usare il giorno della gara o nella seduta di rifinitura.</t>
  </si>
  <si>
    <t xml:space="preserve">N-017</t>
  </si>
  <si>
    <t xml:space="preserve">400 con pinne</t>
  </si>
  <si>
    <t xml:space="preserve">400 MX 100 SL + 100 dorso + 100 delfino-ondulazioni + 100 SL [A1] (Pinne)</t>
  </si>
  <si>
    <t xml:space="preserve">N-018</t>
  </si>
  <si>
    <t xml:space="preserve">Attivazione</t>
  </si>
  <si>
    <t xml:space="preserve">B1</t>
  </si>
  <si>
    <t xml:space="preserve">6x25 SL progressivi</t>
  </si>
  <si>
    <t xml:space="preserve">6x25 SL progressivi nella serie [B1] rec 20"</t>
  </si>
  <si>
    <t xml:space="preserve">Esordienti, Ragazzi, Assoluti, Master</t>
  </si>
  <si>
    <t xml:space="preserve">N-019</t>
  </si>
  <si>
    <t xml:space="preserve">6x25 DO progressivi</t>
  </si>
  <si>
    <t xml:space="preserve">6x25 DO progressivi nella serie [B1] rec 20"</t>
  </si>
  <si>
    <t xml:space="preserve">Dorso</t>
  </si>
  <si>
    <t xml:space="preserve">N-020</t>
  </si>
  <si>
    <t xml:space="preserve">6x25 RA progressivi</t>
  </si>
  <si>
    <t xml:space="preserve">6x25 RA progressivi nella serie [B1] rec 20"</t>
  </si>
  <si>
    <t xml:space="preserve">Rana</t>
  </si>
  <si>
    <t xml:space="preserve">N-021</t>
  </si>
  <si>
    <t xml:space="preserve">6x25 DF progressivi</t>
  </si>
  <si>
    <t xml:space="preserve">6x25 DF progressivi nella serie [B1] rec 20"</t>
  </si>
  <si>
    <t xml:space="preserve">Delfino</t>
  </si>
  <si>
    <t xml:space="preserve">N-022</t>
  </si>
  <si>
    <t xml:space="preserve">6x25 MX progressivi</t>
  </si>
  <si>
    <t xml:space="preserve">6x25 MX progressivi nella serie [B1] rec 20"</t>
  </si>
  <si>
    <t xml:space="preserve">N-023</t>
  </si>
  <si>
    <t xml:space="preserve">4x50 SL build-up</t>
  </si>
  <si>
    <t xml:space="preserve">4x50 SL crescente nella vasca [B1] rec 20"</t>
  </si>
  <si>
    <t xml:space="preserve">N-024</t>
  </si>
  <si>
    <t xml:space="preserve">4x50 stile principale build-up</t>
  </si>
  <si>
    <t xml:space="preserve">4x50 scelta stile principale, crescente nella vasca [B1] rec 20"</t>
  </si>
  <si>
    <t xml:space="preserve">A scelta</t>
  </si>
  <si>
    <t xml:space="preserve">N-025</t>
  </si>
  <si>
    <t xml:space="preserve">V</t>
  </si>
  <si>
    <t xml:space="preserve">8x25 12,5 veloce + 12,5 facile</t>
  </si>
  <si>
    <t xml:space="preserve">8x25 scelta 12,5 m veloce + 12,5 m facile [V] rec 20"</t>
  </si>
  <si>
    <t xml:space="preserve">N-026</t>
  </si>
  <si>
    <t xml:space="preserve">B2</t>
  </si>
  <si>
    <t xml:space="preserve">4x(25 veloce + 25 facile)</t>
  </si>
  <si>
    <t xml:space="preserve">4x50 scelta 25 veloce + 25 facile [B2] rec 15"</t>
  </si>
  <si>
    <t xml:space="preserve">N-027</t>
  </si>
  <si>
    <t xml:space="preserve">6x15 partenza dal blocco</t>
  </si>
  <si>
    <t xml:space="preserve">6x15 scelta partenza dal blocco, uscita e prime bracciate [V] rec 45"</t>
  </si>
  <si>
    <t xml:space="preserve">N-028</t>
  </si>
  <si>
    <t xml:space="preserve">6x15 uscite subacquee</t>
  </si>
  <si>
    <t xml:space="preserve">6x15 DF ondulazioni subacquee fino a 10-15 m [V] rec 40"</t>
  </si>
  <si>
    <t xml:space="preserve">N-029</t>
  </si>
  <si>
    <t xml:space="preserve">RG</t>
  </si>
  <si>
    <t xml:space="preserve">4x25 ritmo gara</t>
  </si>
  <si>
    <t xml:space="preserve">4x25 scelta ritmo gara della distanza obiettivo [RG] rec 40"</t>
  </si>
  <si>
    <t xml:space="preserve">N-030</t>
  </si>
  <si>
    <t xml:space="preserve">T</t>
  </si>
  <si>
    <t xml:space="preserve">SL: catch-up (presa davanti)</t>
  </si>
  <si>
    <t xml:space="preserve">6x50 SL 25 catch-up (presa davanti) + 25 nuotato [T] rec 15"</t>
  </si>
  <si>
    <t xml:space="preserve">N-031</t>
  </si>
  <si>
    <t xml:space="preserve">SL esordienti: catch-up (presa davanti)</t>
  </si>
  <si>
    <t xml:space="preserve">6x25 SL catch-up (presa davanti) [T] rec 20"</t>
  </si>
  <si>
    <t xml:space="preserve">N-032</t>
  </si>
  <si>
    <t xml:space="preserve">SL: braccio singolo, l'altro avanti</t>
  </si>
  <si>
    <t xml:space="preserve">6x50 SL 25 braccio singolo, l'altro avanti + 25 nuotato [T] rec 15"</t>
  </si>
  <si>
    <t xml:space="preserve">N-033</t>
  </si>
  <si>
    <t xml:space="preserve">SL esordienti: braccio singolo, l'altro avanti</t>
  </si>
  <si>
    <t xml:space="preserve">6x25 SL braccio singolo, l'altro avanti [T] rec 20"</t>
  </si>
  <si>
    <t xml:space="preserve">N-034</t>
  </si>
  <si>
    <t xml:space="preserve">SL: 6 battute di lato + bracciata (rotazione)</t>
  </si>
  <si>
    <t xml:space="preserve">6x50 SL 25 6 battute di lato + bracciata (rotazione) + 25 nuotato [T] rec 15" (Pinne)</t>
  </si>
  <si>
    <t xml:space="preserve">N-035</t>
  </si>
  <si>
    <t xml:space="preserve">SL esordienti: 6 battute di lato + bracciata (rotazione)</t>
  </si>
  <si>
    <t xml:space="preserve">6x25 SL 6 battute di lato + bracciata (rotazione) [T] rec 20" (Pinne)</t>
  </si>
  <si>
    <t xml:space="preserve">N-036</t>
  </si>
  <si>
    <t xml:space="preserve">SL: zip: dita che sfiorano il fianco</t>
  </si>
  <si>
    <t xml:space="preserve">6x50 SL 25 zip: dita che sfiorano il fianco + 25 nuotato [T] rec 15"</t>
  </si>
  <si>
    <t xml:space="preserve">N-037</t>
  </si>
  <si>
    <t xml:space="preserve">SL esordienti: zip: dita che sfiorano il fianco</t>
  </si>
  <si>
    <t xml:space="preserve">6x25 SL zip: dita che sfiorano il fianco [T] rec 20"</t>
  </si>
  <si>
    <t xml:space="preserve">N-038</t>
  </si>
  <si>
    <t xml:space="preserve">SL: pugni chiusi</t>
  </si>
  <si>
    <t xml:space="preserve">6x50 SL 25 pugni chiusi + 25 nuotato [T] rec 15"</t>
  </si>
  <si>
    <t xml:space="preserve">N-039</t>
  </si>
  <si>
    <t xml:space="preserve">SL esordienti: pugni chiusi</t>
  </si>
  <si>
    <t xml:space="preserve">6x25 SL pugni chiusi [T] rec 20"</t>
  </si>
  <si>
    <t xml:space="preserve">N-040</t>
  </si>
  <si>
    <t xml:space="preserve">SL: respirazione bilaterale ogni 3</t>
  </si>
  <si>
    <t xml:space="preserve">6x50 SL 25 respirazione bilaterale ogni 3 + 25 nuotato [T] rec 15"</t>
  </si>
  <si>
    <t xml:space="preserve">N-041</t>
  </si>
  <si>
    <t xml:space="preserve">SL esordienti: respirazione bilaterale ogni 3</t>
  </si>
  <si>
    <t xml:space="preserve">6x25 SL respirazione bilaterale ogni 3 [T] rec 20"</t>
  </si>
  <si>
    <t xml:space="preserve">N-042</t>
  </si>
  <si>
    <t xml:space="preserve">SL: testa alta (stile pallanuoto)</t>
  </si>
  <si>
    <t xml:space="preserve">6x50 SL 25 testa alta (stile pallanuoto) + 25 nuotato [T] rec 15"</t>
  </si>
  <si>
    <t xml:space="preserve">N-043</t>
  </si>
  <si>
    <t xml:space="preserve">SL esordienti: testa alta (stile pallanuoto)</t>
  </si>
  <si>
    <t xml:space="preserve">6x25 SL testa alta (stile pallanuoto) [T] rec 20"</t>
  </si>
  <si>
    <t xml:space="preserve">N-044</t>
  </si>
  <si>
    <t xml:space="preserve">SL: conta bracciate e riducile</t>
  </si>
  <si>
    <t xml:space="preserve">6x50 SL 25 conta bracciate e riducile + 25 nuotato [T] rec 15"</t>
  </si>
  <si>
    <t xml:space="preserve">N-045</t>
  </si>
  <si>
    <t xml:space="preserve">SL esordienti: conta bracciate e riducile</t>
  </si>
  <si>
    <t xml:space="preserve">6x25 SL conta bracciate e riducile [T] rec 20"</t>
  </si>
  <si>
    <t xml:space="preserve">N-046</t>
  </si>
  <si>
    <t xml:space="preserve">DO: braccio singolo</t>
  </si>
  <si>
    <t xml:space="preserve">6x50 DO 25 braccio singolo + 25 nuotato [T] rec 15"</t>
  </si>
  <si>
    <t xml:space="preserve">N-047</t>
  </si>
  <si>
    <t xml:space="preserve">DO esordienti: braccio singolo</t>
  </si>
  <si>
    <t xml:space="preserve">6x25 DO braccio singolo [T] rec 20"</t>
  </si>
  <si>
    <t xml:space="preserve">N-048</t>
  </si>
  <si>
    <t xml:space="preserve">DO: doppio braccio</t>
  </si>
  <si>
    <t xml:space="preserve">6x50 DO 25 doppio braccio + 25 nuotato [T] rec 15"</t>
  </si>
  <si>
    <t xml:space="preserve">N-049</t>
  </si>
  <si>
    <t xml:space="preserve">DO esordienti: doppio braccio</t>
  </si>
  <si>
    <t xml:space="preserve">6x25 DO doppio braccio [T] rec 20"</t>
  </si>
  <si>
    <t xml:space="preserve">N-050</t>
  </si>
  <si>
    <t xml:space="preserve">DO: 6 battute con spalla fuori</t>
  </si>
  <si>
    <t xml:space="preserve">6x50 DO 25 6 battute con spalla fuori + 25 nuotato [T] rec 15"</t>
  </si>
  <si>
    <t xml:space="preserve">N-051</t>
  </si>
  <si>
    <t xml:space="preserve">DO esordienti: 6 battute con spalla fuori</t>
  </si>
  <si>
    <t xml:space="preserve">6x25 DO 6 battute con spalla fuori [T] rec 20"</t>
  </si>
  <si>
    <t xml:space="preserve">N-052</t>
  </si>
  <si>
    <t xml:space="preserve">DO: bottiglia/bicchiere sulla fronte</t>
  </si>
  <si>
    <t xml:space="preserve">6x50 DO 25 bottiglia/bicchiere sulla fronte + 25 nuotato [T] rec 15"</t>
  </si>
  <si>
    <t xml:space="preserve">N-053</t>
  </si>
  <si>
    <t xml:space="preserve">DO esordienti: bottiglia/bicchiere sulla fronte</t>
  </si>
  <si>
    <t xml:space="preserve">6x25 DO bottiglia/bicchiere sulla fronte [T] rec 20"</t>
  </si>
  <si>
    <t xml:space="preserve">N-054</t>
  </si>
  <si>
    <t xml:space="preserve">DO: 3 bracciate dx, 3 sx, 3 complete</t>
  </si>
  <si>
    <t xml:space="preserve">6x50 DO 25 3 bracciate dx, 3 sx, 3 complete + 25 nuotato [T] rec 15"</t>
  </si>
  <si>
    <t xml:space="preserve">N-055</t>
  </si>
  <si>
    <t xml:space="preserve">DO esordienti: 3 bracciate dx, 3 sx, 3 complete</t>
  </si>
  <si>
    <t xml:space="preserve">6x25 DO 3 bracciate dx, 3 sx, 3 complete [T] rec 20"</t>
  </si>
  <si>
    <t xml:space="preserve">N-056</t>
  </si>
  <si>
    <t xml:space="preserve">DO: rotazione con pausa a braccio alto</t>
  </si>
  <si>
    <t xml:space="preserve">6x50 DO 25 rotazione con pausa a braccio alto + 25 nuotato [T] rec 15"</t>
  </si>
  <si>
    <t xml:space="preserve">N-057</t>
  </si>
  <si>
    <t xml:space="preserve">DO esordienti: rotazione con pausa a braccio alto</t>
  </si>
  <si>
    <t xml:space="preserve">6x25 DO rotazione con pausa a braccio alto [T] rec 20"</t>
  </si>
  <si>
    <t xml:space="preserve">N-058</t>
  </si>
  <si>
    <t xml:space="preserve">RA: 2 gambate e 1 bracciata</t>
  </si>
  <si>
    <t xml:space="preserve">6x50 RA 25 2 gambate e 1 bracciata + 25 nuotato [T] rec 15"</t>
  </si>
  <si>
    <t xml:space="preserve">N-059</t>
  </si>
  <si>
    <t xml:space="preserve">RA esordienti: 2 gambate e 1 bracciata</t>
  </si>
  <si>
    <t xml:space="preserve">6x25 RA 2 gambate e 1 bracciata [T] rec 20"</t>
  </si>
  <si>
    <t xml:space="preserve">N-060</t>
  </si>
  <si>
    <t xml:space="preserve">RA: braccia rana + gambe delfino</t>
  </si>
  <si>
    <t xml:space="preserve">6x50 RA 25 braccia rana + gambe delfino + 25 nuotato [T] rec 15"</t>
  </si>
  <si>
    <t xml:space="preserve">N-061</t>
  </si>
  <si>
    <t xml:space="preserve">RA esordienti: braccia rana + gambe delfino</t>
  </si>
  <si>
    <t xml:space="preserve">6x25 RA braccia rana + gambe delfino [T] rec 20"</t>
  </si>
  <si>
    <t xml:space="preserve">N-062</t>
  </si>
  <si>
    <t xml:space="preserve">RA: gambe rana sul dorso</t>
  </si>
  <si>
    <t xml:space="preserve">6x50 RA 25 gambe rana sul dorso + 25 nuotato [T] rec 15"</t>
  </si>
  <si>
    <t xml:space="preserve">N-063</t>
  </si>
  <si>
    <t xml:space="preserve">RA esordienti: gambe rana sul dorso</t>
  </si>
  <si>
    <t xml:space="preserve">6x25 RA gambe rana sul dorso [T] rec 20"</t>
  </si>
  <si>
    <t xml:space="preserve">N-064</t>
  </si>
  <si>
    <t xml:space="preserve">RA: scivolata lunga (conta 2)</t>
  </si>
  <si>
    <t xml:space="preserve">6x50 RA 25 scivolata lunga (conta 2) + 25 nuotato [T] rec 15"</t>
  </si>
  <si>
    <t xml:space="preserve">N-065</t>
  </si>
  <si>
    <t xml:space="preserve">RA esordienti: scivolata lunga (conta 2)</t>
  </si>
  <si>
    <t xml:space="preserve">6x25 RA scivolata lunga (conta 2) [T] rec 20"</t>
  </si>
  <si>
    <t xml:space="preserve">N-066</t>
  </si>
  <si>
    <t xml:space="preserve">RA: braccia rana con pull buoy</t>
  </si>
  <si>
    <t xml:space="preserve">6x50 RA 25 braccia rana con pull buoy + 25 nuotato [T] rec 15" (Pull buoy)</t>
  </si>
  <si>
    <t xml:space="preserve">Pull buoy</t>
  </si>
  <si>
    <t xml:space="preserve">N-067</t>
  </si>
  <si>
    <t xml:space="preserve">RA esordienti: braccia rana con pull buoy</t>
  </si>
  <si>
    <t xml:space="preserve">6x25 RA braccia rana con pull buoy [T] rec 20" (Pull buoy)</t>
  </si>
  <si>
    <t xml:space="preserve">N-068</t>
  </si>
  <si>
    <t xml:space="preserve">RA: bracciata stretta e veloce, ritorno rapido</t>
  </si>
  <si>
    <t xml:space="preserve">6x50 RA 25 bracciata stretta e veloce, ritorno rapido + 25 nuotato [T] rec 15"</t>
  </si>
  <si>
    <t xml:space="preserve">N-069</t>
  </si>
  <si>
    <t xml:space="preserve">RA esordienti: bracciata stretta e veloce, ritorno rapido</t>
  </si>
  <si>
    <t xml:space="preserve">6x25 RA bracciata stretta e veloce, ritorno rapido [T] rec 20"</t>
  </si>
  <si>
    <t xml:space="preserve">N-070</t>
  </si>
  <si>
    <t xml:space="preserve">DF: braccio singolo dx/sx</t>
  </si>
  <si>
    <t xml:space="preserve">6x50 DF 25 braccio singolo dx/sx + 25 nuotato [T] rec 15" (Pinne)</t>
  </si>
  <si>
    <t xml:space="preserve">N-071</t>
  </si>
  <si>
    <t xml:space="preserve">DF esordienti: braccio singolo dx/sx</t>
  </si>
  <si>
    <t xml:space="preserve">6x25 DF braccio singolo dx/sx [T] rec 20" (Pinne)</t>
  </si>
  <si>
    <t xml:space="preserve">N-072</t>
  </si>
  <si>
    <t xml:space="preserve">DF: 3-3-3 (dx, sx, completo)</t>
  </si>
  <si>
    <t xml:space="preserve">6x50 DF 25 3-3-3 (dx, sx, completo) + 25 nuotato [T] rec 15" (Pinne)</t>
  </si>
  <si>
    <t xml:space="preserve">N-073</t>
  </si>
  <si>
    <t xml:space="preserve">DF esordienti: 3-3-3 (dx, sx, completo)</t>
  </si>
  <si>
    <t xml:space="preserve">6x25 DF 3-3-3 (dx, sx, completo) [T] rec 20" (Pinne)</t>
  </si>
  <si>
    <t xml:space="preserve">N-074</t>
  </si>
  <si>
    <t xml:space="preserve">DF: ondulazioni con braccia avanti</t>
  </si>
  <si>
    <t xml:space="preserve">6x50 DF 25 ondulazioni con braccia avanti + 25 nuotato [T] rec 15"</t>
  </si>
  <si>
    <t xml:space="preserve">N-075</t>
  </si>
  <si>
    <t xml:space="preserve">DF esordienti: ondulazioni con braccia avanti</t>
  </si>
  <si>
    <t xml:space="preserve">6x25 DF ondulazioni con braccia avanti [T] rec 20"</t>
  </si>
  <si>
    <t xml:space="preserve">N-076</t>
  </si>
  <si>
    <t xml:space="preserve">DF: braccia delfino + gambe stile</t>
  </si>
  <si>
    <t xml:space="preserve">6x50 DF 25 braccia delfino + gambe stile + 25 nuotato [T] rec 15"</t>
  </si>
  <si>
    <t xml:space="preserve">N-077</t>
  </si>
  <si>
    <t xml:space="preserve">DF esordienti: braccia delfino + gambe stile</t>
  </si>
  <si>
    <t xml:space="preserve">6x25 DF braccia delfino + gambe stile [T] rec 20"</t>
  </si>
  <si>
    <t xml:space="preserve">N-078</t>
  </si>
  <si>
    <t xml:space="preserve">DF: 2 gambate per bracciata accentuate</t>
  </si>
  <si>
    <t xml:space="preserve">6x50 DF 25 2 gambate per bracciata accentuate + 25 nuotato [T] rec 15"</t>
  </si>
  <si>
    <t xml:space="preserve">N-079</t>
  </si>
  <si>
    <t xml:space="preserve">DF esordienti: 2 gambate per bracciata accentuate</t>
  </si>
  <si>
    <t xml:space="preserve">6x25 DF 2 gambate per bracciata accentuate [T] rec 20"</t>
  </si>
  <si>
    <t xml:space="preserve">N-080</t>
  </si>
  <si>
    <t xml:space="preserve">DF: ondulazioni sul fianco</t>
  </si>
  <si>
    <t xml:space="preserve">6x50 DF 25 ondulazioni sul fianco + 25 nuotato [T] rec 15" (Pinne)</t>
  </si>
  <si>
    <t xml:space="preserve">N-081</t>
  </si>
  <si>
    <t xml:space="preserve">DF esordienti: ondulazioni sul fianco</t>
  </si>
  <si>
    <t xml:space="preserve">6x25 DF ondulazioni sul fianco [T] rec 20" (Pinne)</t>
  </si>
  <si>
    <t xml:space="preserve">N-082</t>
  </si>
  <si>
    <t xml:space="preserve">Virate SL da metà vasca</t>
  </si>
  <si>
    <t xml:space="preserve">8x25 SL partenza a 7 m dal muro, virata e uscita fino a 10 m [T] rec 20"</t>
  </si>
  <si>
    <t xml:space="preserve">N-083</t>
  </si>
  <si>
    <t xml:space="preserve">Virate dorso</t>
  </si>
  <si>
    <t xml:space="preserve">8x25 DO conta bracciate dalle bandierine, virata e subacquea [T] rec 20"</t>
  </si>
  <si>
    <t xml:space="preserve">N-084</t>
  </si>
  <si>
    <t xml:space="preserve">Virate rana/delfino (tocco a 2 mani)</t>
  </si>
  <si>
    <t xml:space="preserve">8x25 MX alterna rana e delfino, tocco a due mani e uscita [T] rec 20"</t>
  </si>
  <si>
    <t xml:space="preserve">N-085</t>
  </si>
  <si>
    <t xml:space="preserve">Cambi dei misti</t>
  </si>
  <si>
    <t xml:space="preserve">8x50 MX cambi DF-DO, DO-RA, RA-SL (2 per tipo) [T] rec 20"</t>
  </si>
  <si>
    <t xml:space="preserve">N-086</t>
  </si>
  <si>
    <t xml:space="preserve">Partenze dal blocco</t>
  </si>
  <si>
    <t xml:space="preserve">6x15 scelta partenza dal blocco, tempo ai 15 m [V] rec 1'</t>
  </si>
  <si>
    <t xml:space="preserve">N-087</t>
  </si>
  <si>
    <t xml:space="preserve">Partenze dorso</t>
  </si>
  <si>
    <t xml:space="preserve">6x15 DO partenza dorso dal muro, subacquea [V] rec 1'</t>
  </si>
  <si>
    <t xml:space="preserve">N-088</t>
  </si>
  <si>
    <t xml:space="preserve">Subacquee a delfino</t>
  </si>
  <si>
    <t xml:space="preserve">8x15 DF ondulazioni subacquee dal muro [T] rec 30" (Pinne)</t>
  </si>
  <si>
    <t xml:space="preserve">N-089</t>
  </si>
  <si>
    <t xml:space="preserve">Arrivi al tocco</t>
  </si>
  <si>
    <t xml:space="preserve">6x10 scelta arrivo senza respirare, tocco in allungo [V] rec 30"</t>
  </si>
  <si>
    <t xml:space="preserve">N-090</t>
  </si>
  <si>
    <t xml:space="preserve">Cambi staffetta</t>
  </si>
  <si>
    <t xml:space="preserve">8x25 scelta cambio staffetta a coppie dal blocco [T] rec 40"</t>
  </si>
  <si>
    <t xml:space="preserve">Serve il blocco di partenza.</t>
  </si>
  <si>
    <t xml:space="preserve">N-091</t>
  </si>
  <si>
    <t xml:space="preserve">Conta bracciate (efficienza)</t>
  </si>
  <si>
    <t xml:space="preserve">8x50 SL conta le bracciate, riduci di 1 ogni 2 ripetizioni [A1] rec 20"</t>
  </si>
  <si>
    <t xml:space="preserve">N-092</t>
  </si>
  <si>
    <t xml:space="preserve">Gambe</t>
  </si>
  <si>
    <t xml:space="preserve">A2</t>
  </si>
  <si>
    <t xml:space="preserve">8x50 gambe SL</t>
  </si>
  <si>
    <t xml:space="preserve">8x50 SL gambe [A2] rec 15" (Tavoletta)</t>
  </si>
  <si>
    <t xml:space="preserve">Tavoletta</t>
  </si>
  <si>
    <t xml:space="preserve">N-093</t>
  </si>
  <si>
    <t xml:space="preserve">Soglia</t>
  </si>
  <si>
    <t xml:space="preserve">6x50 gambe SL veloci</t>
  </si>
  <si>
    <t xml:space="preserve">6x50 SL gambe veloci [B2] rec 30" (Tavoletta)</t>
  </si>
  <si>
    <t xml:space="preserve">N-094</t>
  </si>
  <si>
    <t xml:space="preserve">10x25 gambe SL max</t>
  </si>
  <si>
    <t xml:space="preserve">10x25 SL gambe massimali [V] rec 40"</t>
  </si>
  <si>
    <t xml:space="preserve">N-095</t>
  </si>
  <si>
    <t xml:space="preserve">8x50 gambe DO</t>
  </si>
  <si>
    <t xml:space="preserve">8x50 DO gambe [A2] rec 15" (Tavoletta)</t>
  </si>
  <si>
    <t xml:space="preserve">N-096</t>
  </si>
  <si>
    <t xml:space="preserve">6x50 gambe DO veloci</t>
  </si>
  <si>
    <t xml:space="preserve">6x50 DO gambe veloci [B2] rec 30" (Tavoletta)</t>
  </si>
  <si>
    <t xml:space="preserve">N-097</t>
  </si>
  <si>
    <t xml:space="preserve">10x25 gambe DO max</t>
  </si>
  <si>
    <t xml:space="preserve">10x25 DO gambe massimali [V] rec 40"</t>
  </si>
  <si>
    <t xml:space="preserve">N-098</t>
  </si>
  <si>
    <t xml:space="preserve">8x50 gambe RA</t>
  </si>
  <si>
    <t xml:space="preserve">8x50 RA gambe [A2] rec 15" (Tavoletta)</t>
  </si>
  <si>
    <t xml:space="preserve">N-099</t>
  </si>
  <si>
    <t xml:space="preserve">6x50 gambe RA veloci</t>
  </si>
  <si>
    <t xml:space="preserve">6x50 RA gambe veloci [B2] rec 30" (Tavoletta)</t>
  </si>
  <si>
    <t xml:space="preserve">N-100</t>
  </si>
  <si>
    <t xml:space="preserve">10x25 gambe RA max</t>
  </si>
  <si>
    <t xml:space="preserve">10x25 RA gambe massimali [V] rec 40"</t>
  </si>
  <si>
    <t xml:space="preserve">N-101</t>
  </si>
  <si>
    <t xml:space="preserve">8x50 gambe DF</t>
  </si>
  <si>
    <t xml:space="preserve">8x50 DF gambe [A2] rec 15" (Tavoletta)</t>
  </si>
  <si>
    <t xml:space="preserve">N-102</t>
  </si>
  <si>
    <t xml:space="preserve">6x50 gambe DF veloci</t>
  </si>
  <si>
    <t xml:space="preserve">6x50 DF gambe veloci [B2] rec 30" (Tavoletta)</t>
  </si>
  <si>
    <t xml:space="preserve">N-103</t>
  </si>
  <si>
    <t xml:space="preserve">10x25 gambe DF max</t>
  </si>
  <si>
    <t xml:space="preserve">10x25 DF gambe massimali [V] rec 40"</t>
  </si>
  <si>
    <t xml:space="preserve">N-104</t>
  </si>
  <si>
    <t xml:space="preserve">300 gambe misti con pinne</t>
  </si>
  <si>
    <t xml:space="preserve">300 MX gambe a stili ogni 25 [A1] (Pinne)</t>
  </si>
  <si>
    <t xml:space="preserve">N-105</t>
  </si>
  <si>
    <t xml:space="preserve">6x50 gambe subacquee</t>
  </si>
  <si>
    <t xml:space="preserve">6x50 DF 25 ondulazioni subacquee + 25 facile [B2] rec 30" (Pinne)</t>
  </si>
  <si>
    <t xml:space="preserve">N-106</t>
  </si>
  <si>
    <t xml:space="preserve">4x100 gambe progressive</t>
  </si>
  <si>
    <t xml:space="preserve">4x100 scelta gambe progressive per 25 [A2] rec 20" (Tavoletta)</t>
  </si>
  <si>
    <t xml:space="preserve">N-107</t>
  </si>
  <si>
    <t xml:space="preserve">Gambe esordienti 6x25</t>
  </si>
  <si>
    <t xml:space="preserve">6x25 scelta gambe (alterna stile e dorso) [A1] rec 20" (Tavoletta)</t>
  </si>
  <si>
    <t xml:space="preserve">N-108</t>
  </si>
  <si>
    <t xml:space="preserve">Forza</t>
  </si>
  <si>
    <t xml:space="preserve">Gambe verticali</t>
  </si>
  <si>
    <t xml:space="preserve">6x30" gambe in verticale braccia incrociate al petto [B2] rec 30"</t>
  </si>
  <si>
    <t xml:space="preserve">Lavoro a tempo, senza spostamento.</t>
  </si>
  <si>
    <t xml:space="preserve">N-109</t>
  </si>
  <si>
    <t xml:space="preserve">Braccia</t>
  </si>
  <si>
    <t xml:space="preserve">4x200 pull buoy</t>
  </si>
  <si>
    <t xml:space="preserve">4x200 SL braccia [A2] rec 20" (Pull buoy)</t>
  </si>
  <si>
    <t xml:space="preserve">N-110</t>
  </si>
  <si>
    <t xml:space="preserve">6x100 palette + pull</t>
  </si>
  <si>
    <t xml:space="preserve">6x100 SL braccia [B1] rec 15" (Palette, Pull buoy)</t>
  </si>
  <si>
    <t xml:space="preserve">Palette, Pull buoy</t>
  </si>
  <si>
    <t xml:space="preserve">N-111</t>
  </si>
  <si>
    <t xml:space="preserve">8x50 braccia rana</t>
  </si>
  <si>
    <t xml:space="preserve">8x50 RA braccia con pull buoy [A2] rec 15" (Pull buoy)</t>
  </si>
  <si>
    <t xml:space="preserve">N-112</t>
  </si>
  <si>
    <t xml:space="preserve">400 pull respirazione 5</t>
  </si>
  <si>
    <t xml:space="preserve">400 SL braccia, respirazione ogni 5 [A2] (Pull buoy)</t>
  </si>
  <si>
    <t xml:space="preserve">N-113</t>
  </si>
  <si>
    <t xml:space="preserve">3x300 palette</t>
  </si>
  <si>
    <t xml:space="preserve">3x300 SL braccia, presa lunga [A2] rec 30" (Palette, Pull buoy)</t>
  </si>
  <si>
    <t xml:space="preserve">N-114</t>
  </si>
  <si>
    <t xml:space="preserve">10x50 braccia dorso</t>
  </si>
  <si>
    <t xml:space="preserve">10x50 DO braccia [A2] rec 15" (Pull buoy)</t>
  </si>
  <si>
    <t xml:space="preserve">N-115</t>
  </si>
  <si>
    <t xml:space="preserve">8x50 trascinamento</t>
  </si>
  <si>
    <t xml:space="preserve">8x50 SL braccia con elastico alle caviglie [B1] rec 30" (Pull buoy, Elastico)</t>
  </si>
  <si>
    <t xml:space="preserve">Elastico, Pull buoy</t>
  </si>
  <si>
    <t xml:space="preserve">N-116</t>
  </si>
  <si>
    <t xml:space="preserve">C2</t>
  </si>
  <si>
    <t xml:space="preserve">6x25 paracadute</t>
  </si>
  <si>
    <t xml:space="preserve">6x25 scelta con paracadute/freno [C2] rec 1' (Paracadute)</t>
  </si>
  <si>
    <t xml:space="preserve">Paracadute</t>
  </si>
  <si>
    <t xml:space="preserve">N-117</t>
  </si>
  <si>
    <t xml:space="preserve">Serie principale</t>
  </si>
  <si>
    <t xml:space="preserve">3x400 SL A2</t>
  </si>
  <si>
    <t xml:space="preserve">3x400 SL ritmo costante [A2] rec 30"</t>
  </si>
  <si>
    <t xml:space="preserve">N-118</t>
  </si>
  <si>
    <t xml:space="preserve">3x400 DO A2</t>
  </si>
  <si>
    <t xml:space="preserve">3x400 DO ritmo costante [A2] rec 30"</t>
  </si>
  <si>
    <t xml:space="preserve">N-119</t>
  </si>
  <si>
    <t xml:space="preserve">3x400 RA A2</t>
  </si>
  <si>
    <t xml:space="preserve">3x400 RA ritmo costante [A2] rec 30"</t>
  </si>
  <si>
    <t xml:space="preserve">N-120</t>
  </si>
  <si>
    <t xml:space="preserve">3x200 DF A2</t>
  </si>
  <si>
    <t xml:space="preserve">3x200 DF ritmo costante [A2] rec 30"</t>
  </si>
  <si>
    <t xml:space="preserve">N-121</t>
  </si>
  <si>
    <t xml:space="preserve">3x400 MX A2</t>
  </si>
  <si>
    <t xml:space="preserve">3x400 MX ritmo costante [A2] rec 30"</t>
  </si>
  <si>
    <t xml:space="preserve">N-122</t>
  </si>
  <si>
    <t xml:space="preserve">8x200 SL A2</t>
  </si>
  <si>
    <t xml:space="preserve">8x200 SL ritmo costante [A2] rec 20"</t>
  </si>
  <si>
    <t xml:space="preserve">N-123</t>
  </si>
  <si>
    <t xml:space="preserve">8x200 DO A2</t>
  </si>
  <si>
    <t xml:space="preserve">8x200 DO ritmo costante [A2] rec 20"</t>
  </si>
  <si>
    <t xml:space="preserve">N-124</t>
  </si>
  <si>
    <t xml:space="preserve">8x200 RA A2</t>
  </si>
  <si>
    <t xml:space="preserve">8x200 RA ritmo costante [A2] rec 20"</t>
  </si>
  <si>
    <t xml:space="preserve">N-125</t>
  </si>
  <si>
    <t xml:space="preserve">8x100 DF A2</t>
  </si>
  <si>
    <t xml:space="preserve">8x100 DF ritmo costante [A2] rec 20"</t>
  </si>
  <si>
    <t xml:space="preserve">N-126</t>
  </si>
  <si>
    <t xml:space="preserve">8x200 MX A2</t>
  </si>
  <si>
    <t xml:space="preserve">8x200 MX ritmo costante [A2] rec 20"</t>
  </si>
  <si>
    <t xml:space="preserve">N-127</t>
  </si>
  <si>
    <t xml:space="preserve">10x100 SL A2</t>
  </si>
  <si>
    <t xml:space="preserve">10x100 SL negative split [A2] rec 15"</t>
  </si>
  <si>
    <t xml:space="preserve">N-128</t>
  </si>
  <si>
    <t xml:space="preserve">10x100 DO A2</t>
  </si>
  <si>
    <t xml:space="preserve">10x100 DO negative split [A2] rec 15"</t>
  </si>
  <si>
    <t xml:space="preserve">N-129</t>
  </si>
  <si>
    <t xml:space="preserve">10x100 RA A2</t>
  </si>
  <si>
    <t xml:space="preserve">10x100 RA negative split [A2] rec 15"</t>
  </si>
  <si>
    <t xml:space="preserve">N-130</t>
  </si>
  <si>
    <t xml:space="preserve">10x50 DF A2</t>
  </si>
  <si>
    <t xml:space="preserve">10x50 DF negative split [A2] rec 15"</t>
  </si>
  <si>
    <t xml:space="preserve">N-131</t>
  </si>
  <si>
    <t xml:space="preserve">10x100 MX A2</t>
  </si>
  <si>
    <t xml:space="preserve">10x100 MX negative split [A2] rec 15"</t>
  </si>
  <si>
    <t xml:space="preserve">N-132</t>
  </si>
  <si>
    <t xml:space="preserve">16x50 SL A2</t>
  </si>
  <si>
    <t xml:space="preserve">16x50 SL ritmo costante [A2] rec 10"</t>
  </si>
  <si>
    <t xml:space="preserve">N-133</t>
  </si>
  <si>
    <t xml:space="preserve">16x50 DO A2</t>
  </si>
  <si>
    <t xml:space="preserve">16x50 DO ritmo costante [A2] rec 10"</t>
  </si>
  <si>
    <t xml:space="preserve">N-134</t>
  </si>
  <si>
    <t xml:space="preserve">16x50 RA A2</t>
  </si>
  <si>
    <t xml:space="preserve">16x50 RA ritmo costante [A2] rec 10"</t>
  </si>
  <si>
    <t xml:space="preserve">N-135</t>
  </si>
  <si>
    <t xml:space="preserve">8x50 DF A2</t>
  </si>
  <si>
    <t xml:space="preserve">8x50 DF ritmo costante [A2] rec 10"</t>
  </si>
  <si>
    <t xml:space="preserve">N-136</t>
  </si>
  <si>
    <t xml:space="preserve">10x100 SL B1</t>
  </si>
  <si>
    <t xml:space="preserve">10x100 SL ritmo soglia costante [B1] rec 15"</t>
  </si>
  <si>
    <t xml:space="preserve">N-137</t>
  </si>
  <si>
    <t xml:space="preserve">10x100 DO B1</t>
  </si>
  <si>
    <t xml:space="preserve">10x100 DO ritmo soglia costante [B1] rec 15"</t>
  </si>
  <si>
    <t xml:space="preserve">N-138</t>
  </si>
  <si>
    <t xml:space="preserve">10x100 RA B1</t>
  </si>
  <si>
    <t xml:space="preserve">10x100 RA ritmo soglia costante [B1] rec 15"</t>
  </si>
  <si>
    <t xml:space="preserve">N-139</t>
  </si>
  <si>
    <t xml:space="preserve">10x50 DF B1</t>
  </si>
  <si>
    <t xml:space="preserve">10x50 DF ritmo soglia costante [B1] rec 15"</t>
  </si>
  <si>
    <t xml:space="preserve">N-140</t>
  </si>
  <si>
    <t xml:space="preserve">10x100 MX B1</t>
  </si>
  <si>
    <t xml:space="preserve">10x100 MX ritmo soglia costante [B1] rec 15"</t>
  </si>
  <si>
    <t xml:space="preserve">N-141</t>
  </si>
  <si>
    <t xml:space="preserve">5x200 SL B1</t>
  </si>
  <si>
    <t xml:space="preserve">5x200 SL ritmo soglia [B1] rec 20"</t>
  </si>
  <si>
    <t xml:space="preserve">N-142</t>
  </si>
  <si>
    <t xml:space="preserve">5x200 DO B1</t>
  </si>
  <si>
    <t xml:space="preserve">5x200 DO ritmo soglia [B1] rec 20"</t>
  </si>
  <si>
    <t xml:space="preserve">N-143</t>
  </si>
  <si>
    <t xml:space="preserve">5x200 RA B1</t>
  </si>
  <si>
    <t xml:space="preserve">5x200 RA ritmo soglia [B1] rec 20"</t>
  </si>
  <si>
    <t xml:space="preserve">N-144</t>
  </si>
  <si>
    <t xml:space="preserve">5x100 DF B1</t>
  </si>
  <si>
    <t xml:space="preserve">5x100 DF ritmo soglia [B1] rec 20"</t>
  </si>
  <si>
    <t xml:space="preserve">N-145</t>
  </si>
  <si>
    <t xml:space="preserve">5x200 MX B1</t>
  </si>
  <si>
    <t xml:space="preserve">5x200 MX ritmo soglia [B1] rec 20"</t>
  </si>
  <si>
    <t xml:space="preserve">N-146</t>
  </si>
  <si>
    <t xml:space="preserve">3x400 SL B1</t>
  </si>
  <si>
    <t xml:space="preserve">3x400 SL ritmo soglia [B1] rec 30"</t>
  </si>
  <si>
    <t xml:space="preserve">N-147</t>
  </si>
  <si>
    <t xml:space="preserve">3x400 DO B1</t>
  </si>
  <si>
    <t xml:space="preserve">3x400 DO ritmo soglia [B1] rec 30"</t>
  </si>
  <si>
    <t xml:space="preserve">N-148</t>
  </si>
  <si>
    <t xml:space="preserve">3x400 RA B1</t>
  </si>
  <si>
    <t xml:space="preserve">3x400 RA ritmo soglia [B1] rec 30"</t>
  </si>
  <si>
    <t xml:space="preserve">N-149</t>
  </si>
  <si>
    <t xml:space="preserve">3x200 DF B1</t>
  </si>
  <si>
    <t xml:space="preserve">3x200 DF ritmo soglia [B1] rec 30"</t>
  </si>
  <si>
    <t xml:space="preserve">N-150</t>
  </si>
  <si>
    <t xml:space="preserve">3x400 MX B1</t>
  </si>
  <si>
    <t xml:space="preserve">3x400 MX ritmo soglia [B1] rec 30"</t>
  </si>
  <si>
    <t xml:space="preserve">N-151</t>
  </si>
  <si>
    <t xml:space="preserve">20x50 SL B1</t>
  </si>
  <si>
    <t xml:space="preserve">20x50 SL ritmo soglia [B1] rec 10"</t>
  </si>
  <si>
    <t xml:space="preserve">N-152</t>
  </si>
  <si>
    <t xml:space="preserve">20x50 DO B1</t>
  </si>
  <si>
    <t xml:space="preserve">20x50 DO ritmo soglia [B1] rec 10"</t>
  </si>
  <si>
    <t xml:space="preserve">N-153</t>
  </si>
  <si>
    <t xml:space="preserve">20x50 RA B1</t>
  </si>
  <si>
    <t xml:space="preserve">20x50 RA ritmo soglia [B1] rec 10"</t>
  </si>
  <si>
    <t xml:space="preserve">N-154</t>
  </si>
  <si>
    <t xml:space="preserve">10x50 DF ritmo soglia [B1] rec 10"</t>
  </si>
  <si>
    <t xml:space="preserve">N-155</t>
  </si>
  <si>
    <t xml:space="preserve">VO2max</t>
  </si>
  <si>
    <t xml:space="preserve">8x100 SL B2</t>
  </si>
  <si>
    <t xml:space="preserve">8x100 SL forte, tempi costanti [B2] rec 30"</t>
  </si>
  <si>
    <t xml:space="preserve">N-156</t>
  </si>
  <si>
    <t xml:space="preserve">8x100 DO B2</t>
  </si>
  <si>
    <t xml:space="preserve">8x100 DO forte, tempi costanti [B2] rec 30"</t>
  </si>
  <si>
    <t xml:space="preserve">N-157</t>
  </si>
  <si>
    <t xml:space="preserve">8x100 RA B2</t>
  </si>
  <si>
    <t xml:space="preserve">8x100 RA forte, tempi costanti [B2] rec 30"</t>
  </si>
  <si>
    <t xml:space="preserve">N-158</t>
  </si>
  <si>
    <t xml:space="preserve">8x50 DF B2</t>
  </si>
  <si>
    <t xml:space="preserve">8x50 DF forte, tempi costanti [B2] rec 30"</t>
  </si>
  <si>
    <t xml:space="preserve">N-159</t>
  </si>
  <si>
    <t xml:space="preserve">8x100 MX B2</t>
  </si>
  <si>
    <t xml:space="preserve">8x100 MX forte, tempi costanti [B2] rec 30"</t>
  </si>
  <si>
    <t xml:space="preserve">N-160</t>
  </si>
  <si>
    <t xml:space="preserve">6x200 SL B2</t>
  </si>
  <si>
    <t xml:space="preserve">6x200 SL forte [B2] rec 45"</t>
  </si>
  <si>
    <t xml:space="preserve">N-161</t>
  </si>
  <si>
    <t xml:space="preserve">6x200 DO B2</t>
  </si>
  <si>
    <t xml:space="preserve">6x200 DO forte [B2] rec 45"</t>
  </si>
  <si>
    <t xml:space="preserve">N-162</t>
  </si>
  <si>
    <t xml:space="preserve">6x200 RA B2</t>
  </si>
  <si>
    <t xml:space="preserve">6x200 RA forte [B2] rec 45"</t>
  </si>
  <si>
    <t xml:space="preserve">N-163</t>
  </si>
  <si>
    <t xml:space="preserve">6x100 DF B2</t>
  </si>
  <si>
    <t xml:space="preserve">6x100 DF forte [B2] rec 45"</t>
  </si>
  <si>
    <t xml:space="preserve">N-164</t>
  </si>
  <si>
    <t xml:space="preserve">6x200 MX B2</t>
  </si>
  <si>
    <t xml:space="preserve">6x200 MX forte [B2] rec 45"</t>
  </si>
  <si>
    <t xml:space="preserve">N-165</t>
  </si>
  <si>
    <t xml:space="preserve">12x50 SL B2</t>
  </si>
  <si>
    <t xml:space="preserve">12x50 SL forte [B2] rec 20"</t>
  </si>
  <si>
    <t xml:space="preserve">N-166</t>
  </si>
  <si>
    <t xml:space="preserve">12x50 DO B2</t>
  </si>
  <si>
    <t xml:space="preserve">12x50 DO forte [B2] rec 20"</t>
  </si>
  <si>
    <t xml:space="preserve">N-167</t>
  </si>
  <si>
    <t xml:space="preserve">12x50 RA B2</t>
  </si>
  <si>
    <t xml:space="preserve">12x50 RA forte [B2] rec 20"</t>
  </si>
  <si>
    <t xml:space="preserve">N-168</t>
  </si>
  <si>
    <t xml:space="preserve">6x50 DF B2</t>
  </si>
  <si>
    <t xml:space="preserve">6x50 DF forte [B2] rec 20"</t>
  </si>
  <si>
    <t xml:space="preserve">N-169</t>
  </si>
  <si>
    <t xml:space="preserve">Lattacido</t>
  </si>
  <si>
    <t xml:space="preserve">C1</t>
  </si>
  <si>
    <t xml:space="preserve">6x100 SL C1</t>
  </si>
  <si>
    <t xml:space="preserve">6x100 SL tolleranza, tempi vicini al ritmo gara [C1] rec 1'30"</t>
  </si>
  <si>
    <t xml:space="preserve">N-170</t>
  </si>
  <si>
    <t xml:space="preserve">6x100 DO C1</t>
  </si>
  <si>
    <t xml:space="preserve">6x100 DO tolleranza, tempi vicini al ritmo gara [C1] rec 1'30"</t>
  </si>
  <si>
    <t xml:space="preserve">N-171</t>
  </si>
  <si>
    <t xml:space="preserve">6x100 RA C1</t>
  </si>
  <si>
    <t xml:space="preserve">6x100 RA tolleranza, tempi vicini al ritmo gara [C1] rec 1'30"</t>
  </si>
  <si>
    <t xml:space="preserve">N-172</t>
  </si>
  <si>
    <t xml:space="preserve">6x50 DF C1</t>
  </si>
  <si>
    <t xml:space="preserve">6x50 DF tolleranza, tempi vicini al ritmo gara [C1] rec 1'30"</t>
  </si>
  <si>
    <t xml:space="preserve">N-173</t>
  </si>
  <si>
    <t xml:space="preserve">6x100 MX C1</t>
  </si>
  <si>
    <t xml:space="preserve">6x100 MX tolleranza, tempi vicini al ritmo gara [C1] rec 1'30"</t>
  </si>
  <si>
    <t xml:space="preserve">N-174</t>
  </si>
  <si>
    <t xml:space="preserve">8x50 SL C1</t>
  </si>
  <si>
    <t xml:space="preserve">8x50 SL tolleranza [C1] rec 1'</t>
  </si>
  <si>
    <t xml:space="preserve">N-175</t>
  </si>
  <si>
    <t xml:space="preserve">8x50 DO C1</t>
  </si>
  <si>
    <t xml:space="preserve">8x50 DO tolleranza [C1] rec 1'</t>
  </si>
  <si>
    <t xml:space="preserve">N-176</t>
  </si>
  <si>
    <t xml:space="preserve">8x50 RA C1</t>
  </si>
  <si>
    <t xml:space="preserve">8x50 RA tolleranza [C1] rec 1'</t>
  </si>
  <si>
    <t xml:space="preserve">N-177</t>
  </si>
  <si>
    <t xml:space="preserve">8x50 DF C1</t>
  </si>
  <si>
    <t xml:space="preserve">8x50 DF tolleranza [C1] rec 1'</t>
  </si>
  <si>
    <t xml:space="preserve">N-178</t>
  </si>
  <si>
    <t xml:space="preserve">4x75 SL C1</t>
  </si>
  <si>
    <t xml:space="preserve">4x75 SL tolleranza [C1] rec 1'30"</t>
  </si>
  <si>
    <t xml:space="preserve">N-179</t>
  </si>
  <si>
    <t xml:space="preserve">4x75 DO C1</t>
  </si>
  <si>
    <t xml:space="preserve">4x75 DO tolleranza [C1] rec 1'30"</t>
  </si>
  <si>
    <t xml:space="preserve">N-180</t>
  </si>
  <si>
    <t xml:space="preserve">4x75 RA C1</t>
  </si>
  <si>
    <t xml:space="preserve">4x75 RA tolleranza [C1] rec 1'30"</t>
  </si>
  <si>
    <t xml:space="preserve">N-181</t>
  </si>
  <si>
    <t xml:space="preserve">4x75 DF C1</t>
  </si>
  <si>
    <t xml:space="preserve">4x75 DF tolleranza [C1] rec 1'30"</t>
  </si>
  <si>
    <t xml:space="preserve">N-182</t>
  </si>
  <si>
    <t xml:space="preserve">4x50 SL C2</t>
  </si>
  <si>
    <t xml:space="preserve">4x50 SL massimale [C2] rec 3'</t>
  </si>
  <si>
    <t xml:space="preserve">N-183</t>
  </si>
  <si>
    <t xml:space="preserve">4x50 DO C2</t>
  </si>
  <si>
    <t xml:space="preserve">4x50 DO massimale [C2] rec 3'</t>
  </si>
  <si>
    <t xml:space="preserve">N-184</t>
  </si>
  <si>
    <t xml:space="preserve">4x50 RA C2</t>
  </si>
  <si>
    <t xml:space="preserve">4x50 RA massimale [C2] rec 3'</t>
  </si>
  <si>
    <t xml:space="preserve">N-185</t>
  </si>
  <si>
    <t xml:space="preserve">4x50 DF C2</t>
  </si>
  <si>
    <t xml:space="preserve">4x50 DF massimale [C2] rec 3'</t>
  </si>
  <si>
    <t xml:space="preserve">N-186</t>
  </si>
  <si>
    <t xml:space="preserve">3x100 SL C2</t>
  </si>
  <si>
    <t xml:space="preserve">3x100 SL massimale [C2] rec 5'</t>
  </si>
  <si>
    <t xml:space="preserve">N-187</t>
  </si>
  <si>
    <t xml:space="preserve">3x100 DO C2</t>
  </si>
  <si>
    <t xml:space="preserve">3x100 DO massimale [C2] rec 5'</t>
  </si>
  <si>
    <t xml:space="preserve">N-188</t>
  </si>
  <si>
    <t xml:space="preserve">3x100 RA C2</t>
  </si>
  <si>
    <t xml:space="preserve">3x100 RA massimale [C2] rec 5'</t>
  </si>
  <si>
    <t xml:space="preserve">N-189</t>
  </si>
  <si>
    <t xml:space="preserve">3x50 DF C2</t>
  </si>
  <si>
    <t xml:space="preserve">3x50 DF massimale [C2] rec 5'</t>
  </si>
  <si>
    <t xml:space="preserve">N-190</t>
  </si>
  <si>
    <t xml:space="preserve">3x100 MX C2</t>
  </si>
  <si>
    <t xml:space="preserve">3x100 MX massimale [C2] rec 5'</t>
  </si>
  <si>
    <t xml:space="preserve">N-191</t>
  </si>
  <si>
    <t xml:space="preserve">6x25 SL C2</t>
  </si>
  <si>
    <t xml:space="preserve">6x25 SL massimale dal blocco [C2] rec 2'</t>
  </si>
  <si>
    <t xml:space="preserve">N-192</t>
  </si>
  <si>
    <t xml:space="preserve">6x25 DO C2</t>
  </si>
  <si>
    <t xml:space="preserve">6x25 DO massimale dal blocco [C2] rec 2'</t>
  </si>
  <si>
    <t xml:space="preserve">N-193</t>
  </si>
  <si>
    <t xml:space="preserve">6x25 RA C2</t>
  </si>
  <si>
    <t xml:space="preserve">6x25 RA massimale dal blocco [C2] rec 2'</t>
  </si>
  <si>
    <t xml:space="preserve">N-194</t>
  </si>
  <si>
    <t xml:space="preserve">6x25 DF C2</t>
  </si>
  <si>
    <t xml:space="preserve">6x25 DF massimale dal blocco [C2] rec 2'</t>
  </si>
  <si>
    <t xml:space="preserve">N-195</t>
  </si>
  <si>
    <t xml:space="preserve">8x25 SL V</t>
  </si>
  <si>
    <t xml:space="preserve">8x25 SL massimale [V] rec 1'</t>
  </si>
  <si>
    <t xml:space="preserve">N-196</t>
  </si>
  <si>
    <t xml:space="preserve">8x25 DO V</t>
  </si>
  <si>
    <t xml:space="preserve">8x25 DO massimale [V] rec 1'</t>
  </si>
  <si>
    <t xml:space="preserve">N-197</t>
  </si>
  <si>
    <t xml:space="preserve">8x25 RA V</t>
  </si>
  <si>
    <t xml:space="preserve">8x25 RA massimale [V] rec 1'</t>
  </si>
  <si>
    <t xml:space="preserve">N-198</t>
  </si>
  <si>
    <t xml:space="preserve">8x25 DF V</t>
  </si>
  <si>
    <t xml:space="preserve">8x25 DF massimale [V] rec 1'</t>
  </si>
  <si>
    <t xml:space="preserve">N-199</t>
  </si>
  <si>
    <t xml:space="preserve">8x25 a scelta V</t>
  </si>
  <si>
    <t xml:space="preserve">8x25 scelta massimale, stile a scelta [V] rec 1'</t>
  </si>
  <si>
    <t xml:space="preserve">N-200</t>
  </si>
  <si>
    <t xml:space="preserve">6x15 SL V</t>
  </si>
  <si>
    <t xml:space="preserve">6x15 SL sprint dal muro [V] rec 45"</t>
  </si>
  <si>
    <t xml:space="preserve">N-201</t>
  </si>
  <si>
    <t xml:space="preserve">6x15 DO V</t>
  </si>
  <si>
    <t xml:space="preserve">6x15 DO sprint dal muro [V] rec 45"</t>
  </si>
  <si>
    <t xml:space="preserve">N-202</t>
  </si>
  <si>
    <t xml:space="preserve">6x15 RA V</t>
  </si>
  <si>
    <t xml:space="preserve">6x15 RA sprint dal muro [V] rec 45"</t>
  </si>
  <si>
    <t xml:space="preserve">N-203</t>
  </si>
  <si>
    <t xml:space="preserve">6x15 DF V</t>
  </si>
  <si>
    <t xml:space="preserve">6x15 DF sprint dal muro [V] rec 45"</t>
  </si>
  <si>
    <t xml:space="preserve">N-204</t>
  </si>
  <si>
    <t xml:space="preserve">10x12,5 SL V</t>
  </si>
  <si>
    <t xml:space="preserve">10x12,5 SL sprint [V] rec 30"</t>
  </si>
  <si>
    <t xml:space="preserve">N-205</t>
  </si>
  <si>
    <t xml:space="preserve">10x12,5 DO V</t>
  </si>
  <si>
    <t xml:space="preserve">10x12,5 DO sprint [V] rec 30"</t>
  </si>
  <si>
    <t xml:space="preserve">N-206</t>
  </si>
  <si>
    <t xml:space="preserve">10x12,5 RA V</t>
  </si>
  <si>
    <t xml:space="preserve">10x12,5 RA sprint [V] rec 30"</t>
  </si>
  <si>
    <t xml:space="preserve">N-207</t>
  </si>
  <si>
    <t xml:space="preserve">10x12,5 DF V</t>
  </si>
  <si>
    <t xml:space="preserve">10x12,5 DF sprint [V] rec 30"</t>
  </si>
  <si>
    <t xml:space="preserve">N-208</t>
  </si>
  <si>
    <t xml:space="preserve">4x(3x100) soglia</t>
  </si>
  <si>
    <t xml:space="preserve">4x( 3x100 SL ritmo soglia [B1] rec 10" )</t>
  </si>
  <si>
    <t xml:space="preserve">1' di recupero tra un giro e l'altro.</t>
  </si>
  <si>
    <t xml:space="preserve">N-209</t>
  </si>
  <si>
    <t xml:space="preserve">2x(4x50) tolleranza</t>
  </si>
  <si>
    <t xml:space="preserve">2x( 4x50 scelta stile principale, tolleranza [C1] rec 45" )</t>
  </si>
  <si>
    <t xml:space="preserve">3' facili tra i due giri.</t>
  </si>
  <si>
    <t xml:space="preserve">N-210</t>
  </si>
  <si>
    <t xml:space="preserve">4x(4x25) sprint</t>
  </si>
  <si>
    <t xml:space="preserve">4x( 4x25 scelta sprint [V] rec 30" )</t>
  </si>
  <si>
    <t xml:space="preserve">2' facili tra i giri.</t>
  </si>
  <si>
    <t xml:space="preserve">N-211</t>
  </si>
  <si>
    <t xml:space="preserve">1500 SL continuo</t>
  </si>
  <si>
    <t xml:space="preserve">1500 SL continuo, ritmo regolare [A2]</t>
  </si>
  <si>
    <t xml:space="preserve">N-212</t>
  </si>
  <si>
    <t xml:space="preserve">5x300 SL/DO/SL</t>
  </si>
  <si>
    <t xml:space="preserve">5x300 MX 100 SL + 100 dorso + 100 SL [A2] rec 30"</t>
  </si>
  <si>
    <t xml:space="preserve">N-213</t>
  </si>
  <si>
    <t xml:space="preserve">Ritmo gara</t>
  </si>
  <si>
    <t xml:space="preserve">8x50 SL ritmo 200</t>
  </si>
  <si>
    <t xml:space="preserve">8x50 SL ritmo 200 [RG] rec 30"</t>
  </si>
  <si>
    <t xml:space="preserve">N-214</t>
  </si>
  <si>
    <t xml:space="preserve">8x50 DO ritmo 200</t>
  </si>
  <si>
    <t xml:space="preserve">8x50 DO ritmo 200 [RG] rec 30"</t>
  </si>
  <si>
    <t xml:space="preserve">N-215</t>
  </si>
  <si>
    <t xml:space="preserve">8x50 RA ritmo 200</t>
  </si>
  <si>
    <t xml:space="preserve">8x50 RA ritmo 200 [RG] rec 30"</t>
  </si>
  <si>
    <t xml:space="preserve">N-216</t>
  </si>
  <si>
    <t xml:space="preserve">8x50 DF ritmo 200</t>
  </si>
  <si>
    <t xml:space="preserve">8x50 DF ritmo 200 [RG] rec 30"</t>
  </si>
  <si>
    <t xml:space="preserve">N-217</t>
  </si>
  <si>
    <t xml:space="preserve">4x100 SL ritmo 400</t>
  </si>
  <si>
    <t xml:space="preserve">4x100 SL ritmo 400 [RG] rec 20"</t>
  </si>
  <si>
    <t xml:space="preserve">N-218</t>
  </si>
  <si>
    <t xml:space="preserve">4x100 DO ritmo 400</t>
  </si>
  <si>
    <t xml:space="preserve">4x100 DO ritmo 400 [RG] rec 20"</t>
  </si>
  <si>
    <t xml:space="preserve">N-219</t>
  </si>
  <si>
    <t xml:space="preserve">4x100 RA ritmo 400</t>
  </si>
  <si>
    <t xml:space="preserve">4x100 RA ritmo 400 [RG] rec 20"</t>
  </si>
  <si>
    <t xml:space="preserve">N-220</t>
  </si>
  <si>
    <t xml:space="preserve">6x50 SL ritmo 100</t>
  </si>
  <si>
    <t xml:space="preserve">6x50 SL ritmo 100 [RG] rec 1'</t>
  </si>
  <si>
    <t xml:space="preserve">N-221</t>
  </si>
  <si>
    <t xml:space="preserve">6x50 DO ritmo 100</t>
  </si>
  <si>
    <t xml:space="preserve">6x50 DO ritmo 100 [RG] rec 1'</t>
  </si>
  <si>
    <t xml:space="preserve">N-222</t>
  </si>
  <si>
    <t xml:space="preserve">6x50 RA ritmo 100</t>
  </si>
  <si>
    <t xml:space="preserve">6x50 RA ritmo 100 [RG] rec 1'</t>
  </si>
  <si>
    <t xml:space="preserve">N-223</t>
  </si>
  <si>
    <t xml:space="preserve">6x50 DF ritmo 100</t>
  </si>
  <si>
    <t xml:space="preserve">6x50 DF ritmo 100 [RG] rec 1'</t>
  </si>
  <si>
    <t xml:space="preserve">N-224</t>
  </si>
  <si>
    <t xml:space="preserve">4x50 SL broken 200 (rec 10" ogni 50)</t>
  </si>
  <si>
    <t xml:space="preserve">4x50 SL broken 200 (rec 10" ogni 50) [RG] rec 10"</t>
  </si>
  <si>
    <t xml:space="preserve">N-225</t>
  </si>
  <si>
    <t xml:space="preserve">4x50 DO broken 200 (rec 10" ogni 50)</t>
  </si>
  <si>
    <t xml:space="preserve">4x50 DO broken 200 (rec 10" ogni 50) [RG] rec 10"</t>
  </si>
  <si>
    <t xml:space="preserve">N-226</t>
  </si>
  <si>
    <t xml:space="preserve">4x50 RA broken 200 (rec 10" ogni 50)</t>
  </si>
  <si>
    <t xml:space="preserve">4x50 RA broken 200 (rec 10" ogni 50) [RG] rec 10"</t>
  </si>
  <si>
    <t xml:space="preserve">N-227</t>
  </si>
  <si>
    <t xml:space="preserve">4x50 DF broken 200 (rec 10" ogni 50)</t>
  </si>
  <si>
    <t xml:space="preserve">4x50 DF broken 200 (rec 10" ogni 50) [RG] rec 10"</t>
  </si>
  <si>
    <t xml:space="preserve">N-228</t>
  </si>
  <si>
    <t xml:space="preserve">4x100 misti soglia</t>
  </si>
  <si>
    <t xml:space="preserve">4x100 MX ritmo soglia [B1] rec 20"</t>
  </si>
  <si>
    <t xml:space="preserve">N-229</t>
  </si>
  <si>
    <t xml:space="preserve">4x200 misti</t>
  </si>
  <si>
    <t xml:space="preserve">4x200 MX ritmo costante [A2] rec 30"</t>
  </si>
  <si>
    <t xml:space="preserve">N-230</t>
  </si>
  <si>
    <t xml:space="preserve">6x100 misti forte</t>
  </si>
  <si>
    <t xml:space="preserve">6x100 MX forte [B2] rec 40"</t>
  </si>
  <si>
    <t xml:space="preserve">N-231</t>
  </si>
  <si>
    <t xml:space="preserve">4x100 misti tolleranza</t>
  </si>
  <si>
    <t xml:space="preserve">4x100 MX ritmo gara 200 misti [C1] rec 2'</t>
  </si>
  <si>
    <t xml:space="preserve">N-232</t>
  </si>
  <si>
    <t xml:space="preserve">3x(4x50) misti</t>
  </si>
  <si>
    <t xml:space="preserve">3x( 4x50 MX 1 per stile, poi giro successivo più veloce [A2] rec 15" )</t>
  </si>
  <si>
    <t xml:space="preserve">N-233</t>
  </si>
  <si>
    <t xml:space="preserve">6x50 SL esordienti</t>
  </si>
  <si>
    <t xml:space="preserve">6x50 SL ritmo costante [A2] rec 20"</t>
  </si>
  <si>
    <t xml:space="preserve">N-234</t>
  </si>
  <si>
    <t xml:space="preserve">4x100 SL esordienti</t>
  </si>
  <si>
    <t xml:space="preserve">4x100 SL ritmo costante [A2] rec 30"</t>
  </si>
  <si>
    <t xml:space="preserve">N-235</t>
  </si>
  <si>
    <t xml:space="preserve">8x25 esordienti a stili</t>
  </si>
  <si>
    <t xml:space="preserve">8x25 MX 2 per stile [A2] rec 20"</t>
  </si>
  <si>
    <t xml:space="preserve">N-236</t>
  </si>
  <si>
    <t xml:space="preserve">4x50 dorso esordienti</t>
  </si>
  <si>
    <t xml:space="preserve">4x50 DO ritmo costante [A2] rec 20"</t>
  </si>
  <si>
    <t xml:space="preserve">N-237</t>
  </si>
  <si>
    <t xml:space="preserve">4x50 rana esordienti</t>
  </si>
  <si>
    <t xml:space="preserve">4x50 RA ritmo costante, scivolata [A2] rec 20"</t>
  </si>
  <si>
    <t xml:space="preserve">N-238</t>
  </si>
  <si>
    <t xml:space="preserve">6x50 esordienti forte</t>
  </si>
  <si>
    <t xml:space="preserve">6x50 scelta forte, tempi costanti [B1] rec 30"</t>
  </si>
  <si>
    <t xml:space="preserve">N-239</t>
  </si>
  <si>
    <t xml:space="preserve">200 misti esordienti</t>
  </si>
  <si>
    <t xml:space="preserve">2x100 MX 25 per stile [A2] rec 30"</t>
  </si>
  <si>
    <t xml:space="preserve">N-240</t>
  </si>
  <si>
    <t xml:space="preserve">Staffetta a squadre esordienti</t>
  </si>
  <si>
    <t xml:space="preserve">4x25 scelta staffetta a squadre, gioco [V] rec 1'</t>
  </si>
  <si>
    <t xml:space="preserve">N-241</t>
  </si>
  <si>
    <t xml:space="preserve">10x100 master</t>
  </si>
  <si>
    <t xml:space="preserve">10x100 SL ritmo costante, partenza a tempo [A2] rec 20"</t>
  </si>
  <si>
    <t xml:space="preserve">N-242</t>
  </si>
  <si>
    <t xml:space="preserve">6x200 master soglia</t>
  </si>
  <si>
    <t xml:space="preserve">6x200 scelta ritmo soglia [B1] rec 30"</t>
  </si>
  <si>
    <t xml:space="preserve">N-243</t>
  </si>
  <si>
    <t xml:space="preserve">8x25 master veloci</t>
  </si>
  <si>
    <t xml:space="preserve">8x25 scelta veloci, tecnica pulita [V] rec 45"</t>
  </si>
  <si>
    <t xml:space="preserve">N-244</t>
  </si>
  <si>
    <t xml:space="preserve">Defaticamento</t>
  </si>
  <si>
    <t xml:space="preserve">200 sciolto</t>
  </si>
  <si>
    <t xml:space="preserve">200 scelta sciolto [A1]</t>
  </si>
  <si>
    <t xml:space="preserve">N-245</t>
  </si>
  <si>
    <t xml:space="preserve">300 misti facile</t>
  </si>
  <si>
    <t xml:space="preserve">300 MX molto facile [A1]</t>
  </si>
  <si>
    <t xml:space="preserve">N-246</t>
  </si>
  <si>
    <t xml:space="preserve">4x50 dorso sciolto</t>
  </si>
  <si>
    <t xml:space="preserve">4x50 DO sciolto [A1] rec 15"</t>
  </si>
  <si>
    <t xml:space="preserve">N-247</t>
  </si>
  <si>
    <t xml:space="preserve">100 SL + 100 DO facile</t>
  </si>
  <si>
    <t xml:space="preserve">100 SL [A1] + 100 DO [A1]</t>
  </si>
  <si>
    <t xml:space="preserve">N-248</t>
  </si>
  <si>
    <t xml:space="preserve">400 SL braccia lente, respirazione 5 [A1] (Pull buoy)</t>
  </si>
  <si>
    <t xml:space="preserve">Assoluti, Master</t>
  </si>
  <si>
    <t xml:space="preserve">N-249</t>
  </si>
  <si>
    <t xml:space="preserve">200 gambe pinne facile</t>
  </si>
  <si>
    <t xml:space="preserve">200 scelta gambe facili [A1] (Pinne)</t>
  </si>
  <si>
    <t xml:space="preserve">N-250</t>
  </si>
  <si>
    <t xml:space="preserve">200 sciolto + allungamento</t>
  </si>
  <si>
    <t xml:space="preserve">200 scelta sciolto [A1] + 5' allungamento in acqua [A1]</t>
  </si>
  <si>
    <t xml:space="preserve">N-251</t>
  </si>
  <si>
    <t xml:space="preserve">Esordienti 100 + gioco</t>
  </si>
  <si>
    <t xml:space="preserve">100 scelta sciolto [A1] + 5' gioco libero in acqua [A1]</t>
  </si>
  <si>
    <t xml:space="preserve">N-252</t>
  </si>
  <si>
    <t xml:space="preserve">Test</t>
  </si>
  <si>
    <t xml:space="preserve">TEST</t>
  </si>
  <si>
    <t xml:space="preserve">Test 400 SL</t>
  </si>
  <si>
    <t xml:space="preserve">400 SL massimale, prendi tempo e passaggi ai 100 [TEST]</t>
  </si>
  <si>
    <t xml:space="preserve">N-253</t>
  </si>
  <si>
    <t xml:space="preserve">Test CSS (400 + 200)</t>
  </si>
  <si>
    <t xml:space="preserve">400 SL massimale [TEST] rec 10' + 200 SL massimale [TEST]</t>
  </si>
  <si>
    <t xml:space="preserve">CSS = 200 / (tempo 400 - tempo 200) in m/s. Base per calcolare le ripartenze.</t>
  </si>
  <si>
    <t xml:space="preserve">N-254</t>
  </si>
  <si>
    <t xml:space="preserve">Test T30</t>
  </si>
  <si>
    <t xml:space="preserve">30' 30 minuti continui, registra i metri percorsi [TEST]</t>
  </si>
  <si>
    <t xml:space="preserve">N-255</t>
  </si>
  <si>
    <t xml:space="preserve">Test 100 SL</t>
  </si>
  <si>
    <t xml:space="preserve">100 SL massimale dal blocco [TEST]</t>
  </si>
  <si>
    <t xml:space="preserve">N-256</t>
  </si>
  <si>
    <t xml:space="preserve">Test 100 DO</t>
  </si>
  <si>
    <t xml:space="preserve">100 DO massimale dal blocco [TEST]</t>
  </si>
  <si>
    <t xml:space="preserve">N-257</t>
  </si>
  <si>
    <t xml:space="preserve">Test 100 RA</t>
  </si>
  <si>
    <t xml:space="preserve">100 RA massimale dal blocco [TEST]</t>
  </si>
  <si>
    <t xml:space="preserve">N-258</t>
  </si>
  <si>
    <t xml:space="preserve">Test 100 DF</t>
  </si>
  <si>
    <t xml:space="preserve">100 DF massimale dal blocco [TEST]</t>
  </si>
  <si>
    <t xml:space="preserve">N-259</t>
  </si>
  <si>
    <t xml:space="preserve">Test 50 max</t>
  </si>
  <si>
    <t xml:space="preserve">2x50 scelta massimale, vale il migliore [TEST] rec 5'</t>
  </si>
  <si>
    <t xml:space="preserve">N-260</t>
  </si>
  <si>
    <t xml:space="preserve">Step test 7x200</t>
  </si>
  <si>
    <t xml:space="preserve">7x200 SL progressivo a gradini, tempo e FC a ogni 200 [TEST] rec 30"</t>
  </si>
  <si>
    <t xml:space="preserve">N-261</t>
  </si>
  <si>
    <t xml:space="preserve">Test 6x50 ritmo</t>
  </si>
  <si>
    <t xml:space="preserve">6x50 scelta ritmo gara 200, registra i tempi [TEST] rec 1'</t>
  </si>
  <si>
    <t xml:space="preserve">N-262</t>
  </si>
  <si>
    <t xml:space="preserve">Test 200 stile principale</t>
  </si>
  <si>
    <t xml:space="preserve">200 scelta massimale, stile principale [TEST]</t>
  </si>
  <si>
    <t xml:space="preserve">N-263</t>
  </si>
  <si>
    <t xml:space="preserve">Test 2000 SL</t>
  </si>
  <si>
    <t xml:space="preserve">2000 SL massimale, passaggi ai 500 [TEST]</t>
  </si>
  <si>
    <t xml:space="preserve">P-001</t>
  </si>
  <si>
    <t xml:space="preserve">Pallanuoto</t>
  </si>
  <si>
    <t xml:space="preserve">400 misto + 200 testa alta</t>
  </si>
  <si>
    <t xml:space="preserve">400 MX sciolto [A1] + 200 SL testa alta [A1]</t>
  </si>
  <si>
    <t xml:space="preserve">Under 14, Under 16, Under 18, Senior</t>
  </si>
  <si>
    <t xml:space="preserve">P-002</t>
  </si>
  <si>
    <t xml:space="preserve">300 SL + 4x50 testa alta</t>
  </si>
  <si>
    <t xml:space="preserve">300 SL [A1] rec 30" + 4x50 MX 25 testa alta + 25 SL [A1] rec 15"</t>
  </si>
  <si>
    <t xml:space="preserve">Under 12, Under 14, Under 16, Under 18, Senior, Master</t>
  </si>
  <si>
    <t xml:space="preserve">P-003</t>
  </si>
  <si>
    <t xml:space="preserve">Palleggio a coppie in movimento</t>
  </si>
  <si>
    <t xml:space="preserve">10' passaggi a coppie spostandosi con gambe a rana pallanuoto [A1] (Palloni)</t>
  </si>
  <si>
    <t xml:space="preserve">Palloni</t>
  </si>
  <si>
    <t xml:space="preserve">P-004</t>
  </si>
  <si>
    <t xml:space="preserve">A1 / V</t>
  </si>
  <si>
    <t xml:space="preserve">200 SL + 200 gambe + 4x25 sprint</t>
  </si>
  <si>
    <t xml:space="preserve">200 SL [A1] + 200 gambe rana pallanuoto in verticale e spostamento [A1] + 4x25 SL testa alta sprint [V] rec 30"</t>
  </si>
  <si>
    <t xml:space="preserve">P-005</t>
  </si>
  <si>
    <t xml:space="preserve">Riscaldamento Under 12 con gioco</t>
  </si>
  <si>
    <t xml:space="preserve">200 SL [A1] rec 30" + 5' gioco con la palla (ruba-palla, passaggi liberi) [A1] (Palloni)</t>
  </si>
  <si>
    <t xml:space="preserve">Under 12</t>
  </si>
  <si>
    <t xml:space="preserve">P-006</t>
  </si>
  <si>
    <t xml:space="preserve">6x50 variati</t>
  </si>
  <si>
    <t xml:space="preserve">6x50 MX SL testa alta / dorso polo / rana alternati [A1] rec 15"</t>
  </si>
  <si>
    <t xml:space="preserve">P-007</t>
  </si>
  <si>
    <t xml:space="preserve">A1 / V / T</t>
  </si>
  <si>
    <t xml:space="preserve">Riscaldamento pre-partita</t>
  </si>
  <si>
    <t xml:space="preserve">300 scelta sciolto [A1] + 4x15 SL testa alta sprint [V] rec 30" + 5' passaggi a coppie [T] (Palloni) + 5' tiri al portiere progressivi [T] (Palloni, Porte)</t>
  </si>
  <si>
    <t xml:space="preserve">Under 16, Under 18, Senior</t>
  </si>
  <si>
    <t xml:space="preserve">Palloni, Porte</t>
  </si>
  <si>
    <t xml:space="preserve">P-008</t>
  </si>
  <si>
    <t xml:space="preserve">Riscaldamento master</t>
  </si>
  <si>
    <t xml:space="preserve">300 scelta sciolto [A1] rec 30" + 5' passaggi a coppie da fermi [A1] (Palloni)</t>
  </si>
  <si>
    <t xml:space="preserve">P-009</t>
  </si>
  <si>
    <t xml:space="preserve">Nuoto specifico</t>
  </si>
  <si>
    <t xml:space="preserve">10x25 testa alta</t>
  </si>
  <si>
    <t xml:space="preserve">10x25 SL testa alta veloce [B2] rec 15"</t>
  </si>
  <si>
    <t xml:space="preserve">Testa alta</t>
  </si>
  <si>
    <t xml:space="preserve">P-010</t>
  </si>
  <si>
    <t xml:space="preserve">8x15 sprint da fermo</t>
  </si>
  <si>
    <t xml:space="preserve">8x15 SL testa alta partenza dalla posizione verticale al fischio [V] rec 30"</t>
  </si>
  <si>
    <t xml:space="preserve">P-011</t>
  </si>
  <si>
    <t xml:space="preserve">Sprint con cambio di direzione</t>
  </si>
  <si>
    <t xml:space="preserve">6x20 SL testa alta 10 m sprint, giro di 180° al fischio, 10 m sprint [V] rec 30"</t>
  </si>
  <si>
    <t xml:space="preserve">P-012</t>
  </si>
  <si>
    <t xml:space="preserve">8x25 SL testa alta + dorso polo</t>
  </si>
  <si>
    <t xml:space="preserve">8x25 MX 12,5 testa alta + 12,5 dorso polo [A2] rec 15"</t>
  </si>
  <si>
    <t xml:space="preserve">P-013</t>
  </si>
  <si>
    <t xml:space="preserve">10x15 conduzione palla sprint</t>
  </si>
  <si>
    <t xml:space="preserve">10x15 SL testa alta conduzione palla [V] rec 30" (Palloni)</t>
  </si>
  <si>
    <t xml:space="preserve">P-014</t>
  </si>
  <si>
    <t xml:space="preserve">6x50 conduzione palla</t>
  </si>
  <si>
    <t xml:space="preserve">6x50 SL testa alta conduzione palla, ritmo costante [A2] rec 20" (Palloni)</t>
  </si>
  <si>
    <t xml:space="preserve">P-015</t>
  </si>
  <si>
    <t xml:space="preserve">4x(4x25) sprint con giro</t>
  </si>
  <si>
    <t xml:space="preserve">4x( 4x25 SL testa alta sprint con giro di 180° a metà vasca [V] rec 20" )</t>
  </si>
  <si>
    <t xml:space="preserve">1' facile tra i giri.</t>
  </si>
  <si>
    <t xml:space="preserve">P-016</t>
  </si>
  <si>
    <t xml:space="preserve">20x15 sprint contropiede</t>
  </si>
  <si>
    <t xml:space="preserve">20x15 SL testa alta partenza al fischio, come in contropiede [V] rec 30"</t>
  </si>
  <si>
    <t xml:space="preserve">P-017</t>
  </si>
  <si>
    <t xml:space="preserve">8x50 testa alta forte</t>
  </si>
  <si>
    <t xml:space="preserve">8x50 SL testa alta forte [B2] rec 30"</t>
  </si>
  <si>
    <t xml:space="preserve">P-018</t>
  </si>
  <si>
    <t xml:space="preserve">3x200 testa alta</t>
  </si>
  <si>
    <t xml:space="preserve">3x200 SL testa alta ritmo costante [A2] rec 30"</t>
  </si>
  <si>
    <t xml:space="preserve">P-019</t>
  </si>
  <si>
    <t xml:space="preserve">Piramide di sprint</t>
  </si>
  <si>
    <t xml:space="preserve">10 SL testa alta [V] rec 20" + 15 SL testa alta [V] rec 25" + 20 SL testa alta [V] rec 30" + 15 SL testa alta [V] rec 25" + 10 SL testa alta [V]</t>
  </si>
  <si>
    <t xml:space="preserve">P-020</t>
  </si>
  <si>
    <t xml:space="preserve">6x1' elevazione braccia fuori</t>
  </si>
  <si>
    <t xml:space="preserve">6x1' gambe rana pallanuoto, braccia fuori dall'acqua [B2] rec 30"</t>
  </si>
  <si>
    <t xml:space="preserve">P-021</t>
  </si>
  <si>
    <t xml:space="preserve">8x30" gambe con peso</t>
  </si>
  <si>
    <t xml:space="preserve">8x30" gambe in verticale tenendo un peso sopra la testa [C1] rec 30" (Peso/cintura zavorrata)</t>
  </si>
  <si>
    <t xml:space="preserve">Peso/cintura zavorrata</t>
  </si>
  <si>
    <t xml:space="preserve">P-022</t>
  </si>
  <si>
    <t xml:space="preserve">Spostamenti laterali in verticale</t>
  </si>
  <si>
    <t xml:space="preserve">5' spostamenti laterali dx/sx in verticale, busto alto [A2]</t>
  </si>
  <si>
    <t xml:space="preserve">P-023</t>
  </si>
  <si>
    <t xml:space="preserve">10x20" esplosioni verticali</t>
  </si>
  <si>
    <t xml:space="preserve">10x20" salti/esplosioni fuori dall'acqua dalla verticale [V] rec 40"</t>
  </si>
  <si>
    <t xml:space="preserve">P-024</t>
  </si>
  <si>
    <t xml:space="preserve">4x2' gambe mani fuori</t>
  </si>
  <si>
    <t xml:space="preserve">4x2' gambe rana pallanuoto, mani fuori [A2] rec 30"</t>
  </si>
  <si>
    <t xml:space="preserve">P-025</t>
  </si>
  <si>
    <t xml:space="preserve">8x25 gambe verticale in avanti</t>
  </si>
  <si>
    <t xml:space="preserve">8x25 avanzamento in verticale con gambe, braccia fuori [B2] rec 30"</t>
  </si>
  <si>
    <t xml:space="preserve">P-026</t>
  </si>
  <si>
    <t xml:space="preserve">6x30" lotta a coppie</t>
  </si>
  <si>
    <t xml:space="preserve">6x30" spinta frontale a coppie in verticale [C1] rec 30"</t>
  </si>
  <si>
    <t xml:space="preserve">P-027</t>
  </si>
  <si>
    <t xml:space="preserve">10x15" scatti dalla verticale</t>
  </si>
  <si>
    <t xml:space="preserve">10x15" dalla verticale scatto orizzontale di 5 m [V] rec 30"</t>
  </si>
  <si>
    <t xml:space="preserve">P-028</t>
  </si>
  <si>
    <t xml:space="preserve">Gioco 'chi sta più alto'</t>
  </si>
  <si>
    <t xml:space="preserve">5x30" gambe con mani sopra la testa, a gara [A2] rec 30"</t>
  </si>
  <si>
    <t xml:space="preserve">P-029</t>
  </si>
  <si>
    <t xml:space="preserve">Gambe con palla sopra la testa</t>
  </si>
  <si>
    <t xml:space="preserve">6x45" gambe in verticale con palla tenuta in alto con una mano [B1] rec 30" (Palloni)</t>
  </si>
  <si>
    <t xml:space="preserve">P-030</t>
  </si>
  <si>
    <t xml:space="preserve">Passaggi</t>
  </si>
  <si>
    <t xml:space="preserve">Passaggi a coppie 5-8 m</t>
  </si>
  <si>
    <t xml:space="preserve">10' passaggi a coppie, alterna mano dx e sx [T] (Palloni)</t>
  </si>
  <si>
    <t xml:space="preserve">P-031</t>
  </si>
  <si>
    <t xml:space="preserve">Passaggi a terne in movimento</t>
  </si>
  <si>
    <t xml:space="preserve">10' terne che avanzano lungo la vasca passandosi la palla [T] (Palloni)</t>
  </si>
  <si>
    <t xml:space="preserve">P-032</t>
  </si>
  <si>
    <t xml:space="preserve">Passaggio + palleggio</t>
  </si>
  <si>
    <t xml:space="preserve">8' ricezione, palleggio sul posto, passaggio [T] (Palloni)</t>
  </si>
  <si>
    <t xml:space="preserve">Under 12, Under 14</t>
  </si>
  <si>
    <t xml:space="preserve">P-033</t>
  </si>
  <si>
    <t xml:space="preserve">Dai e vai a coppie</t>
  </si>
  <si>
    <t xml:space="preserve">10' passaggio e scatto in avanti, ricezione in movimento [T] (Palloni)</t>
  </si>
  <si>
    <t xml:space="preserve">P-034</t>
  </si>
  <si>
    <t xml:space="preserve">Tattica</t>
  </si>
  <si>
    <t xml:space="preserve">TT</t>
  </si>
  <si>
    <t xml:space="preserve">Passaggi sotto pressione 2vs1</t>
  </si>
  <si>
    <t xml:space="preserve">10' due attaccanti si passano la palla con un difensore in mezzo [TT] (Palloni)</t>
  </si>
  <si>
    <t xml:space="preserve">P-035</t>
  </si>
  <si>
    <t xml:space="preserve">Passaggi asciutti e bagnati</t>
  </si>
  <si>
    <t xml:space="preserve">8' alterna passaggi in aria (asciutti) e sull'acqua (bagnati) [T] (Palloni)</t>
  </si>
  <si>
    <t xml:space="preserve">P-036</t>
  </si>
  <si>
    <t xml:space="preserve">Circolazione palla sull'arco</t>
  </si>
  <si>
    <t xml:space="preserve">10' 6 giocatori in posizione d'attacco, circolazione veloce [TT] (Palloni, Porte)</t>
  </si>
  <si>
    <t xml:space="preserve">P-037</t>
  </si>
  <si>
    <t xml:space="preserve">Lanci lunghi del portiere</t>
  </si>
  <si>
    <t xml:space="preserve">8' lanci lunghi del portiere a giocatori in contropiede [T] (Palloni, Porte)</t>
  </si>
  <si>
    <t xml:space="preserve">P-038</t>
  </si>
  <si>
    <t xml:space="preserve">Tiro</t>
  </si>
  <si>
    <t xml:space="preserve">Tiri da fermo 5 m</t>
  </si>
  <si>
    <t xml:space="preserve">10' tiri da 5 m mirando agli angoli alti e bassi [T] (Palloni, Porte)</t>
  </si>
  <si>
    <t xml:space="preserve">P-039</t>
  </si>
  <si>
    <t xml:space="preserve">Tiro dopo conduzione</t>
  </si>
  <si>
    <t xml:space="preserve">10' conduzione palla 10 m e tiro in movimento [T] (Palloni, Porte)</t>
  </si>
  <si>
    <t xml:space="preserve">P-040</t>
  </si>
  <si>
    <t xml:space="preserve">Tiro a palombella</t>
  </si>
  <si>
    <t xml:space="preserve">8' tiro a pallonetto sopra il portiere [T] (Palloni, Porte)</t>
  </si>
  <si>
    <t xml:space="preserve">P-041</t>
  </si>
  <si>
    <t xml:space="preserve">Tiro a rimbalzo</t>
  </si>
  <si>
    <t xml:space="preserve">8' tiro che rimbalza sull'acqua davanti al portiere [T] (Palloni, Porte)</t>
  </si>
  <si>
    <t xml:space="preserve">P-042</t>
  </si>
  <si>
    <t xml:space="preserve">Tiro di potenza da fuori</t>
  </si>
  <si>
    <t xml:space="preserve">10' tiri dai 7-8 m con elevazione [T] (Palloni, Porte)</t>
  </si>
  <si>
    <t xml:space="preserve">P-043</t>
  </si>
  <si>
    <t xml:space="preserve">Tiro di girata del centroboa</t>
  </si>
  <si>
    <t xml:space="preserve">8' ricezione spalle alla porta e tiro di girata [T] (Palloni, Porte)</t>
  </si>
  <si>
    <t xml:space="preserve">P-044</t>
  </si>
  <si>
    <t xml:space="preserve">Sprint + tiro sotto fatica</t>
  </si>
  <si>
    <t xml:space="preserve">10x15 SL testa alta sprint 15 m e tiro immediato [C1] rec 45" (Palloni, Porte)</t>
  </si>
  <si>
    <t xml:space="preserve">P-045</t>
  </si>
  <si>
    <t xml:space="preserve">Rigori 5 m</t>
  </si>
  <si>
    <t xml:space="preserve">8' rigori a rotazione, il portiere cambia [T] (Palloni, Porte)</t>
  </si>
  <si>
    <t xml:space="preserve">P-046</t>
  </si>
  <si>
    <t xml:space="preserve">Tiro dopo 1vs1</t>
  </si>
  <si>
    <t xml:space="preserve">10' attaccante contro difensore, conclusione a rete [TT] (Palloni, Porte)</t>
  </si>
  <si>
    <t xml:space="preserve">P-047</t>
  </si>
  <si>
    <t xml:space="preserve">Portiere</t>
  </si>
  <si>
    <t xml:space="preserve">Elevazione portiere</t>
  </si>
  <si>
    <t xml:space="preserve">6x30" elevazione massima con braccia fuori [C1] rec 30"</t>
  </si>
  <si>
    <t xml:space="preserve">Lavoro specifico portieri.</t>
  </si>
  <si>
    <t xml:space="preserve">P-048</t>
  </si>
  <si>
    <t xml:space="preserve">Spostamenti laterali sulla linea</t>
  </si>
  <si>
    <t xml:space="preserve">8x15" spostamenti laterali palo-palo [V] rec 30"</t>
  </si>
  <si>
    <t xml:space="preserve">P-049</t>
  </si>
  <si>
    <t xml:space="preserve">Parate su tiri piazzati</t>
  </si>
  <si>
    <t xml:space="preserve">10' parate su tiri dell'allenatore da varie posizioni [T] (Palloni, Porte)</t>
  </si>
  <si>
    <t xml:space="preserve">P-050</t>
  </si>
  <si>
    <t xml:space="preserve">Riflessi a distanza ravvicinata</t>
  </si>
  <si>
    <t xml:space="preserve">8' tiri ravvicinati rapidi da 2-3 m [V] (Palloni, Porte)</t>
  </si>
  <si>
    <t xml:space="preserve">P-051</t>
  </si>
  <si>
    <t xml:space="preserve">Rinvii lunghi di precisione</t>
  </si>
  <si>
    <t xml:space="preserve">8' rinvii verso un compagno in movimento [T] (Palloni)</t>
  </si>
  <si>
    <t xml:space="preserve">P-052</t>
  </si>
  <si>
    <t xml:space="preserve">Uscite sul contropiede</t>
  </si>
  <si>
    <t xml:space="preserve">8' uscita su attaccante solo in contropiede [TT] (Palloni, Porte)</t>
  </si>
  <si>
    <t xml:space="preserve">P-053</t>
  </si>
  <si>
    <t xml:space="preserve">Difesa</t>
  </si>
  <si>
    <t xml:space="preserve">Marcatura individuale 1vs1</t>
  </si>
  <si>
    <t xml:space="preserve">10' difensore in pressing sul portatore [TT] (Palloni)</t>
  </si>
  <si>
    <t xml:space="preserve">P-054</t>
  </si>
  <si>
    <t xml:space="preserve">Difesa sul centroboa</t>
  </si>
  <si>
    <t xml:space="preserve">10' anticipo, difesa davanti e dietro il centroboa [TT] (Palloni, Porte)</t>
  </si>
  <si>
    <t xml:space="preserve">P-055</t>
  </si>
  <si>
    <t xml:space="preserve">Difesa a zona</t>
  </si>
  <si>
    <t xml:space="preserve">10' difesa a zona con raddoppio sul centroboa [TT] (Palloni, Porte)</t>
  </si>
  <si>
    <t xml:space="preserve">P-056</t>
  </si>
  <si>
    <t xml:space="preserve">Rientri difensivi</t>
  </si>
  <si>
    <t xml:space="preserve">8x25 SL testa alta dopo il tiro, rientro veloce in difesa [V] rec 40"</t>
  </si>
  <si>
    <t xml:space="preserve">P-057</t>
  </si>
  <si>
    <t xml:space="preserve">Inferiorità 5vs6</t>
  </si>
  <si>
    <t xml:space="preserve">10' difesa in inferiorità numerica [TT] (Palloni, Porte)</t>
  </si>
  <si>
    <t xml:space="preserve">P-058</t>
  </si>
  <si>
    <t xml:space="preserve">Attacco</t>
  </si>
  <si>
    <t xml:space="preserve">Attacco 3-3</t>
  </si>
  <si>
    <t xml:space="preserve">10' circolazione e tagli in attacco 3-3 [TT] (Palloni, Porte)</t>
  </si>
  <si>
    <t xml:space="preserve">P-059</t>
  </si>
  <si>
    <t xml:space="preserve">Attacco 4-2</t>
  </si>
  <si>
    <t xml:space="preserve">10' attacco con due giocatori in zona 2 metri [TT] (Palloni, Porte)</t>
  </si>
  <si>
    <t xml:space="preserve">P-060</t>
  </si>
  <si>
    <t xml:space="preserve">Centroboa: lotta per la posizione</t>
  </si>
  <si>
    <t xml:space="preserve">6x30" centroboa contro difensore, conquista della posizione [C1] rec 30"</t>
  </si>
  <si>
    <t xml:space="preserve">P-061</t>
  </si>
  <si>
    <t xml:space="preserve">Superiorità 6vs5 (4-2)</t>
  </si>
  <si>
    <t xml:space="preserve">10' schema di superiorità 4-2 [TT] (Palloni, Porte)</t>
  </si>
  <si>
    <t xml:space="preserve">P-062</t>
  </si>
  <si>
    <t xml:space="preserve">Superiorità 6vs5 (3-3)</t>
  </si>
  <si>
    <t xml:space="preserve">10' schema di superiorità 3-3 [TT] (Palloni, Porte)</t>
  </si>
  <si>
    <t xml:space="preserve">P-063</t>
  </si>
  <si>
    <t xml:space="preserve">Contropiede 2vs1</t>
  </si>
  <si>
    <t xml:space="preserve">10' due attaccanti contro un difensore fino al tiro [TT] (Palloni, Porte)</t>
  </si>
  <si>
    <t xml:space="preserve">P-064</t>
  </si>
  <si>
    <t xml:space="preserve">Contropiede 3vs2</t>
  </si>
  <si>
    <t xml:space="preserve">10' tre attaccanti contro due difensori [TT] (Palloni, Porte)</t>
  </si>
  <si>
    <t xml:space="preserve">P-065</t>
  </si>
  <si>
    <t xml:space="preserve">Partita a tema</t>
  </si>
  <si>
    <t xml:space="preserve">Partitella metà campo 4vs4</t>
  </si>
  <si>
    <t xml:space="preserve">15' partitella a metà campo [TT] (Palloni, Porte)</t>
  </si>
  <si>
    <t xml:space="preserve">P-066</t>
  </si>
  <si>
    <t xml:space="preserve">Partita: solo passaggi asciutti</t>
  </si>
  <si>
    <t xml:space="preserve">15' vietati i passaggi bagnati [TT] (Palloni, Porte)</t>
  </si>
  <si>
    <t xml:space="preserve">P-067</t>
  </si>
  <si>
    <t xml:space="preserve">Partita: max 3 passaggi</t>
  </si>
  <si>
    <t xml:space="preserve">15' tiro obbligatorio entro 3 passaggi [TT] (Palloni, Porte)</t>
  </si>
  <si>
    <t xml:space="preserve">P-068</t>
  </si>
  <si>
    <t xml:space="preserve">Partita: gol doppio in contropiede</t>
  </si>
  <si>
    <t xml:space="preserve">15' i gol in contropiede valgono doppio [TT] (Palloni, Porte)</t>
  </si>
  <si>
    <t xml:space="preserve">P-069</t>
  </si>
  <si>
    <t xml:space="preserve">Partita simulata 4x6'</t>
  </si>
  <si>
    <t xml:space="preserve">4x6' partita con regole ufficiali [TT] rec 2' (Palloni, Porte)</t>
  </si>
  <si>
    <t xml:space="preserve">P-070</t>
  </si>
  <si>
    <t xml:space="preserve">Partita Under 12</t>
  </si>
  <si>
    <t xml:space="preserve">2x8' partita libera con regole semplificate [TT] rec 2' (Palloni, Porte)</t>
  </si>
  <si>
    <t xml:space="preserve">P-071</t>
  </si>
  <si>
    <t xml:space="preserve">Condizionamento</t>
  </si>
  <si>
    <t xml:space="preserve">10x15 m sprint + gambe alte</t>
  </si>
  <si>
    <t xml:space="preserve">10x15 SL testa alta sprint e 10" di gambe con braccia fuori [V] rec 30"</t>
  </si>
  <si>
    <t xml:space="preserve">P-072</t>
  </si>
  <si>
    <t xml:space="preserve">Circuito in acqua 6 stazioni</t>
  </si>
  <si>
    <t xml:space="preserve">6x1' stazioni: sprint, gambe con peso, lotta, tiri, salti, dorso polo [B2] rec 20" (Palloni, Peso/cintura zavorrata)</t>
  </si>
  <si>
    <t xml:space="preserve">Palloni, Peso/cintura zavorrata</t>
  </si>
  <si>
    <t xml:space="preserve">P-073</t>
  </si>
  <si>
    <t xml:space="preserve">8x100 testa alta</t>
  </si>
  <si>
    <t xml:space="preserve">8x100 SL testa alta ritmo soglia [B1] rec 20"</t>
  </si>
  <si>
    <t xml:space="preserve">P-074</t>
  </si>
  <si>
    <t xml:space="preserve">6x50 testa alta tolleranza</t>
  </si>
  <si>
    <t xml:space="preserve">6x50 SL testa alta forte [C1] rec 1'</t>
  </si>
  <si>
    <t xml:space="preserve">P-075</t>
  </si>
  <si>
    <t xml:space="preserve">Intermittente 30"-30"</t>
  </si>
  <si>
    <t xml:space="preserve">10x30" nuoto forte [B2] rec 30"</t>
  </si>
  <si>
    <t xml:space="preserve">P-076</t>
  </si>
  <si>
    <t xml:space="preserve">P-077</t>
  </si>
  <si>
    <t xml:space="preserve">300 misto facile</t>
  </si>
  <si>
    <t xml:space="preserve">P-078</t>
  </si>
  <si>
    <t xml:space="preserve">Test sprint 15 m</t>
  </si>
  <si>
    <t xml:space="preserve">3x15 SL testa alta dalla verticale, vale il migliore [TEST] rec 2'</t>
  </si>
  <si>
    <t xml:space="preserve">P-079</t>
  </si>
  <si>
    <t xml:space="preserve">400 SL massimale [TEST]</t>
  </si>
  <si>
    <t xml:space="preserve">P-080</t>
  </si>
  <si>
    <t xml:space="preserve">Test elevazione</t>
  </si>
  <si>
    <t xml:space="preserve">1' tempo di mantenimento con braccia fuori sopra la testa [TEST]</t>
  </si>
  <si>
    <t xml:space="preserve">P-081</t>
  </si>
  <si>
    <t xml:space="preserve">Test sprint ripetuti 10x25</t>
  </si>
  <si>
    <t xml:space="preserve">10x25 SL testa alta registra tutti i tempi (calo di prestazione) [TEST] rec 20"</t>
  </si>
  <si>
    <t xml:space="preserve">P-082</t>
  </si>
  <si>
    <t xml:space="preserve">Test precisione tiro</t>
  </si>
  <si>
    <t xml:space="preserve">5' 10 tiri nei 4 angoli, conta i centri [TEST] (Palloni, Porte)</t>
  </si>
  <si>
    <t xml:space="preserve">S-001</t>
  </si>
  <si>
    <t xml:space="preserve">A secco</t>
  </si>
  <si>
    <t xml:space="preserve">Attivazione spalle con elastici</t>
  </si>
  <si>
    <t xml:space="preserve">10' rotazioni interne/esterne, tirate, Y-T-W [T] (Elastici)</t>
  </si>
  <si>
    <t xml:space="preserve">Tutti i livelli</t>
  </si>
  <si>
    <t xml:space="preserve">Elastici</t>
  </si>
  <si>
    <t xml:space="preserve">S-002</t>
  </si>
  <si>
    <t xml:space="preserve">Mobilità generale</t>
  </si>
  <si>
    <t xml:space="preserve">10' mobilità di spalle, anche, caviglie e colonna [A1]</t>
  </si>
  <si>
    <t xml:space="preserve">S-003</t>
  </si>
  <si>
    <t xml:space="preserve">Core stability</t>
  </si>
  <si>
    <t xml:space="preserve">3x5' plank, plank laterale, dead bug, superman [B1] rec 1'</t>
  </si>
  <si>
    <t xml:space="preserve">S-004</t>
  </si>
  <si>
    <t xml:space="preserve">Circuito a corpo libero</t>
  </si>
  <si>
    <t xml:space="preserve">3x8' squat, affondi, piegamenti, trazioni assistite, salti [B2] rec 1'30"</t>
  </si>
  <si>
    <t xml:space="preserve">S-005</t>
  </si>
  <si>
    <t xml:space="preserve">Allungamento finale</t>
  </si>
  <si>
    <t xml:space="preserve">10' allungamento statico dei principali gruppi [A1]</t>
  </si>
  <si>
    <t xml:space="preserve">Zona</t>
  </si>
  <si>
    <t xml:space="preserve">Nome</t>
  </si>
  <si>
    <t xml:space="preserve">Sensazione</t>
  </si>
  <si>
    <t xml:space="preserve">Recupero tipico (s)</t>
  </si>
  <si>
    <t xml:space="preserve">Riferimento di passo</t>
  </si>
  <si>
    <t xml:space="preserve">Parametro</t>
  </si>
  <si>
    <t xml:space="preserve">Valore</t>
  </si>
  <si>
    <t xml:space="preserve">Stile</t>
  </si>
  <si>
    <t xml:space="preserve">Aerobico leggero / recupero</t>
  </si>
  <si>
    <t xml:space="preserve">Facile, si parla</t>
  </si>
  <si>
    <t xml:space="preserve">10-20</t>
  </si>
  <si>
    <t xml:space="preserve">CSS + 10-15"</t>
  </si>
  <si>
    <t xml:space="preserve">Passo medio per stimare la durata (s per 100 m)</t>
  </si>
  <si>
    <t xml:space="preserve">Aerobico medio (capacità aerobica)</t>
  </si>
  <si>
    <t xml:space="preserve">Ritmo regolare e sostenibile</t>
  </si>
  <si>
    <t xml:space="preserve">CSS + 5-8"</t>
  </si>
  <si>
    <t xml:space="preserve">Valore ipotizzato (comprende virate e cambi di ritmo): cambialo in base al tuo gruppo.</t>
  </si>
  <si>
    <t xml:space="preserve">bozza</t>
  </si>
  <si>
    <t xml:space="preserve">Soglia anaerobica</t>
  </si>
  <si>
    <t xml:space="preserve">Impegnativo ma costante</t>
  </si>
  <si>
    <t xml:space="preserve">10-30</t>
  </si>
  <si>
    <t xml:space="preserve">CSS ± 2"</t>
  </si>
  <si>
    <t xml:space="preserve">Massimo consumo di ossigeno (VO2max)</t>
  </si>
  <si>
    <t xml:space="preserve">Forte</t>
  </si>
  <si>
    <t xml:space="preserve">30-60</t>
  </si>
  <si>
    <t xml:space="preserve">CSS - 2/4"</t>
  </si>
  <si>
    <t xml:space="preserve">Tolleranza / capacità lattacida</t>
  </si>
  <si>
    <t xml:space="preserve">Molto forte, vicino al ritmo gara</t>
  </si>
  <si>
    <t xml:space="preserve">60-120</t>
  </si>
  <si>
    <t xml:space="preserve">Ritmo gara 200-400</t>
  </si>
  <si>
    <t xml:space="preserve">Potenza lattacida</t>
  </si>
  <si>
    <t xml:space="preserve">Massimale</t>
  </si>
  <si>
    <t xml:space="preserve">180-300</t>
  </si>
  <si>
    <t xml:space="preserve">Massimale 50-100</t>
  </si>
  <si>
    <t xml:space="preserve">Velocità alattacida</t>
  </si>
  <si>
    <t xml:space="preserve">Sprint massimale breve</t>
  </si>
  <si>
    <t xml:space="preserve">45-90</t>
  </si>
  <si>
    <t xml:space="preserve">Massimale 10-25 m</t>
  </si>
  <si>
    <t xml:space="preserve">Passo della gara obiettivo</t>
  </si>
  <si>
    <t xml:space="preserve">variabile</t>
  </si>
  <si>
    <t xml:space="preserve">Passo gara</t>
  </si>
  <si>
    <t xml:space="preserve">Dorso polo</t>
  </si>
  <si>
    <t xml:space="preserve">Qualità del gesto, senza tempo</t>
  </si>
  <si>
    <t xml:space="preserve">15-30</t>
  </si>
  <si>
    <t xml:space="preserve">—</t>
  </si>
  <si>
    <t xml:space="preserve">Tecnico-tattico (pallanuoto)</t>
  </si>
  <si>
    <t xml:space="preserve">Esercitazioni di gioco</t>
  </si>
  <si>
    <t xml:space="preserve">Prova di valutazione</t>
  </si>
  <si>
    <t xml:space="preserve">Valori indicativi, modificabili. CSS = velocità critica dal test 400+200.</t>
  </si>
  <si>
    <t xml:space="preserve">ID blocco</t>
  </si>
  <si>
    <t xml:space="preserve">Ordine</t>
  </si>
  <si>
    <t xml:space="preserve">Giri</t>
  </si>
  <si>
    <t xml:space="preserve">Ripetizioni</t>
  </si>
  <si>
    <t xml:space="preserve">Distanza (m)</t>
  </si>
  <si>
    <t xml:space="preserve">Durata (s)</t>
  </si>
  <si>
    <t xml:space="preserve">Esercizio / andatura</t>
  </si>
  <si>
    <t xml:space="preserve">Recupero (s)</t>
  </si>
  <si>
    <t xml:space="preserve">Note</t>
  </si>
  <si>
    <t xml:space="preserve">sciolto</t>
  </si>
  <si>
    <t xml:space="preserve">respirazione ogni 3-5-7 bracciate per 25</t>
  </si>
  <si>
    <t xml:space="preserve">25 stile + 25 stile successivo, ordine inverso</t>
  </si>
  <si>
    <t xml:space="preserve">progressivo per 100 (da A1 ad A2)</t>
  </si>
  <si>
    <t xml:space="preserve">gambe</t>
  </si>
  <si>
    <t xml:space="preserve">braccia</t>
  </si>
  <si>
    <t xml:space="preserve">tecnica a scelta</t>
  </si>
  <si>
    <t xml:space="preserve">25 dorso + 25 SL</t>
  </si>
  <si>
    <t xml:space="preserve">50 SL + 50 stile del giorno</t>
  </si>
  <si>
    <t xml:space="preserve">dispari SL, pari dorso, progressivo per serie</t>
  </si>
  <si>
    <t xml:space="preserve">2 gambate 1 bracciata</t>
  </si>
  <si>
    <t xml:space="preserve">nuotato</t>
  </si>
  <si>
    <t xml:space="preserve">braccio singolo dx/sx</t>
  </si>
  <si>
    <t xml:space="preserve">braccio singolo / doppio braccio</t>
  </si>
  <si>
    <t xml:space="preserve">progressivi</t>
  </si>
  <si>
    <t xml:space="preserve">ritmo gara</t>
  </si>
  <si>
    <t xml:space="preserve">sprint dal blocco</t>
  </si>
  <si>
    <t xml:space="preserve">100 SL + 100 dorso + 100 delfino-ondulazioni + 100 SL</t>
  </si>
  <si>
    <t xml:space="preserve">progressivi nella serie</t>
  </si>
  <si>
    <t xml:space="preserve">crescente nella vasca</t>
  </si>
  <si>
    <t xml:space="preserve">stile principale, crescente nella vasca</t>
  </si>
  <si>
    <t xml:space="preserve">12,5 m veloce + 12,5 m facile</t>
  </si>
  <si>
    <t xml:space="preserve">25 veloce + 25 facile</t>
  </si>
  <si>
    <t xml:space="preserve">partenza dal blocco, uscita e prime bracciate</t>
  </si>
  <si>
    <t xml:space="preserve">ondulazioni subacquee fino a 10-15 m</t>
  </si>
  <si>
    <t xml:space="preserve">ritmo gara della distanza obiettivo</t>
  </si>
  <si>
    <t xml:space="preserve">25 catch-up (presa davanti) + 25 nuotato</t>
  </si>
  <si>
    <t xml:space="preserve">catch-up (presa davanti)</t>
  </si>
  <si>
    <t xml:space="preserve">25 braccio singolo, l'altro avanti + 25 nuotato</t>
  </si>
  <si>
    <t xml:space="preserve">braccio singolo, l'altro avanti</t>
  </si>
  <si>
    <t xml:space="preserve">25 6 battute di lato + bracciata (rotazione) + 25 nuotato</t>
  </si>
  <si>
    <t xml:space="preserve">6 battute di lato + bracciata (rotazione)</t>
  </si>
  <si>
    <t xml:space="preserve">25 zip: dita che sfiorano il fianco + 25 nuotato</t>
  </si>
  <si>
    <t xml:space="preserve">zip: dita che sfiorano il fianco</t>
  </si>
  <si>
    <t xml:space="preserve">25 pugni chiusi + 25 nuotato</t>
  </si>
  <si>
    <t xml:space="preserve">pugni chiusi</t>
  </si>
  <si>
    <t xml:space="preserve">25 respirazione bilaterale ogni 3 + 25 nuotato</t>
  </si>
  <si>
    <t xml:space="preserve">respirazione bilaterale ogni 3</t>
  </si>
  <si>
    <t xml:space="preserve">25 testa alta (stile pallanuoto) + 25 nuotato</t>
  </si>
  <si>
    <t xml:space="preserve">testa alta (stile pallanuoto)</t>
  </si>
  <si>
    <t xml:space="preserve">25 conta bracciate e riducile + 25 nuotato</t>
  </si>
  <si>
    <t xml:space="preserve">conta bracciate e riducile</t>
  </si>
  <si>
    <t xml:space="preserve">25 braccio singolo + 25 nuotato</t>
  </si>
  <si>
    <t xml:space="preserve">braccio singolo</t>
  </si>
  <si>
    <t xml:space="preserve">25 doppio braccio + 25 nuotato</t>
  </si>
  <si>
    <t xml:space="preserve">doppio braccio</t>
  </si>
  <si>
    <t xml:space="preserve">25 6 battute con spalla fuori + 25 nuotato</t>
  </si>
  <si>
    <t xml:space="preserve">6 battute con spalla fuori</t>
  </si>
  <si>
    <t xml:space="preserve">25 bottiglia/bicchiere sulla fronte + 25 nuotato</t>
  </si>
  <si>
    <t xml:space="preserve">bottiglia/bicchiere sulla fronte</t>
  </si>
  <si>
    <t xml:space="preserve">25 3 bracciate dx, 3 sx, 3 complete + 25 nuotato</t>
  </si>
  <si>
    <t xml:space="preserve">3 bracciate dx, 3 sx, 3 complete</t>
  </si>
  <si>
    <t xml:space="preserve">25 rotazione con pausa a braccio alto + 25 nuotato</t>
  </si>
  <si>
    <t xml:space="preserve">rotazione con pausa a braccio alto</t>
  </si>
  <si>
    <t xml:space="preserve">25 2 gambate e 1 bracciata + 25 nuotato</t>
  </si>
  <si>
    <t xml:space="preserve">2 gambate e 1 bracciata</t>
  </si>
  <si>
    <t xml:space="preserve">25 braccia rana + gambe delfino + 25 nuotato</t>
  </si>
  <si>
    <t xml:space="preserve">braccia rana + gambe delfino</t>
  </si>
  <si>
    <t xml:space="preserve">25 gambe rana sul dorso + 25 nuotato</t>
  </si>
  <si>
    <t xml:space="preserve">gambe rana sul dorso</t>
  </si>
  <si>
    <t xml:space="preserve">25 scivolata lunga (conta 2) + 25 nuotato</t>
  </si>
  <si>
    <t xml:space="preserve">scivolata lunga (conta 2)</t>
  </si>
  <si>
    <t xml:space="preserve">25 braccia rana con pull buoy + 25 nuotato</t>
  </si>
  <si>
    <t xml:space="preserve">braccia rana con pull buoy</t>
  </si>
  <si>
    <t xml:space="preserve">25 bracciata stretta e veloce, ritorno rapido + 25 nuotato</t>
  </si>
  <si>
    <t xml:space="preserve">bracciata stretta e veloce, ritorno rapido</t>
  </si>
  <si>
    <t xml:space="preserve">25 braccio singolo dx/sx + 25 nuotato</t>
  </si>
  <si>
    <t xml:space="preserve">25 3-3-3 (dx, sx, completo) + 25 nuotato</t>
  </si>
  <si>
    <t xml:space="preserve">3-3-3 (dx, sx, completo)</t>
  </si>
  <si>
    <t xml:space="preserve">25 ondulazioni con braccia avanti + 25 nuotato</t>
  </si>
  <si>
    <t xml:space="preserve">ondulazioni con braccia avanti</t>
  </si>
  <si>
    <t xml:space="preserve">25 braccia delfino + gambe stile + 25 nuotato</t>
  </si>
  <si>
    <t xml:space="preserve">braccia delfino + gambe stile</t>
  </si>
  <si>
    <t xml:space="preserve">25 2 gambate per bracciata accentuate + 25 nuotato</t>
  </si>
  <si>
    <t xml:space="preserve">2 gambate per bracciata accentuate</t>
  </si>
  <si>
    <t xml:space="preserve">25 ondulazioni sul fianco + 25 nuotato</t>
  </si>
  <si>
    <t xml:space="preserve">ondulazioni sul fianco</t>
  </si>
  <si>
    <t xml:space="preserve">partenza a 7 m dal muro, virata e uscita fino a 10 m</t>
  </si>
  <si>
    <t xml:space="preserve">conta bracciate dalle bandierine, virata e subacquea</t>
  </si>
  <si>
    <t xml:space="preserve">alterna rana e delfino, tocco a due mani e uscita</t>
  </si>
  <si>
    <t xml:space="preserve">cambi DF-DO, DO-RA, RA-SL (2 per tipo)</t>
  </si>
  <si>
    <t xml:space="preserve">partenza dal blocco, tempo ai 15 m</t>
  </si>
  <si>
    <t xml:space="preserve">partenza dorso dal muro, subacquea</t>
  </si>
  <si>
    <t xml:space="preserve">ondulazioni subacquee dal muro</t>
  </si>
  <si>
    <t xml:space="preserve">arrivo senza respirare, tocco in allungo</t>
  </si>
  <si>
    <t xml:space="preserve">cambio staffetta a coppie dal blocco</t>
  </si>
  <si>
    <t xml:space="preserve">conta le bracciate, riduci di 1 ogni 2 ripetizioni</t>
  </si>
  <si>
    <t xml:space="preserve">gambe veloci</t>
  </si>
  <si>
    <t xml:space="preserve">gambe massimali</t>
  </si>
  <si>
    <t xml:space="preserve">gambe a stili ogni 25</t>
  </si>
  <si>
    <t xml:space="preserve">25 ondulazioni subacquee + 25 facile</t>
  </si>
  <si>
    <t xml:space="preserve">gambe progressive per 25</t>
  </si>
  <si>
    <t xml:space="preserve">gambe (alterna stile e dorso)</t>
  </si>
  <si>
    <t xml:space="preserve">gambe in verticale braccia incrociate al petto</t>
  </si>
  <si>
    <t xml:space="preserve">braccia con pull buoy</t>
  </si>
  <si>
    <t xml:space="preserve">braccia, respirazione ogni 5</t>
  </si>
  <si>
    <t xml:space="preserve">braccia, presa lunga</t>
  </si>
  <si>
    <t xml:space="preserve">braccia con elastico alle caviglie</t>
  </si>
  <si>
    <t xml:space="preserve">Pull buoy, Elastico</t>
  </si>
  <si>
    <t xml:space="preserve">con paracadute/freno</t>
  </si>
  <si>
    <t xml:space="preserve">ritmo costante</t>
  </si>
  <si>
    <t xml:space="preserve">negative split</t>
  </si>
  <si>
    <t xml:space="preserve">ritmo soglia costante</t>
  </si>
  <si>
    <t xml:space="preserve">ritmo soglia</t>
  </si>
  <si>
    <t xml:space="preserve">forte, tempi costanti</t>
  </si>
  <si>
    <t xml:space="preserve">forte</t>
  </si>
  <si>
    <t xml:space="preserve">tolleranza, tempi vicini al ritmo gara</t>
  </si>
  <si>
    <t xml:space="preserve">tolleranza</t>
  </si>
  <si>
    <t xml:space="preserve">massimale</t>
  </si>
  <si>
    <t xml:space="preserve">massimale dal blocco</t>
  </si>
  <si>
    <t xml:space="preserve">massimale, stile a scelta</t>
  </si>
  <si>
    <t xml:space="preserve">sprint dal muro</t>
  </si>
  <si>
    <t xml:space="preserve">sprint</t>
  </si>
  <si>
    <t xml:space="preserve">stile principale, tolleranza</t>
  </si>
  <si>
    <t xml:space="preserve">continuo, ritmo regolare</t>
  </si>
  <si>
    <t xml:space="preserve">100 SL + 100 dorso + 100 SL</t>
  </si>
  <si>
    <t xml:space="preserve">ritmo 200</t>
  </si>
  <si>
    <t xml:space="preserve">ritmo 400</t>
  </si>
  <si>
    <t xml:space="preserve">ritmo 100</t>
  </si>
  <si>
    <t xml:space="preserve">broken 200 (rec 10" ogni 50)</t>
  </si>
  <si>
    <t xml:space="preserve">ritmo gara 200 misti</t>
  </si>
  <si>
    <t xml:space="preserve">1 per stile, poi giro successivo più veloce</t>
  </si>
  <si>
    <t xml:space="preserve">2 per stile</t>
  </si>
  <si>
    <t xml:space="preserve">ritmo costante, scivolata</t>
  </si>
  <si>
    <t xml:space="preserve">25 per stile</t>
  </si>
  <si>
    <t xml:space="preserve">staffetta a squadre, gioco</t>
  </si>
  <si>
    <t xml:space="preserve">ritmo costante, partenza a tempo</t>
  </si>
  <si>
    <t xml:space="preserve">veloci, tecnica pulita</t>
  </si>
  <si>
    <t xml:space="preserve">molto facile</t>
  </si>
  <si>
    <t xml:space="preserve">braccia lente, respirazione 5</t>
  </si>
  <si>
    <t xml:space="preserve">gambe facili</t>
  </si>
  <si>
    <t xml:space="preserve">allungamento in acqua</t>
  </si>
  <si>
    <t xml:space="preserve">gioco libero in acqua</t>
  </si>
  <si>
    <t xml:space="preserve">massimale, prendi tempo e passaggi ai 100</t>
  </si>
  <si>
    <t xml:space="preserve">30 minuti continui, registra i metri percorsi</t>
  </si>
  <si>
    <t xml:space="preserve">massimale, vale il migliore</t>
  </si>
  <si>
    <t xml:space="preserve">progressivo a gradini, tempo e FC a ogni 200</t>
  </si>
  <si>
    <t xml:space="preserve">ritmo gara 200, registra i tempi</t>
  </si>
  <si>
    <t xml:space="preserve">massimale, stile principale</t>
  </si>
  <si>
    <t xml:space="preserve">massimale, passaggi ai 500</t>
  </si>
  <si>
    <t xml:space="preserve">25 testa alta + 25 SL</t>
  </si>
  <si>
    <t xml:space="preserve">passaggi a coppie spostandosi con gambe a rana pallanuoto</t>
  </si>
  <si>
    <t xml:space="preserve">gambe rana pallanuoto in verticale e spostamento</t>
  </si>
  <si>
    <t xml:space="preserve">gioco con la palla (ruba-palla, passaggi liberi)</t>
  </si>
  <si>
    <t xml:space="preserve">SL testa alta / dorso polo / rana alternati</t>
  </si>
  <si>
    <t xml:space="preserve">passaggi a coppie</t>
  </si>
  <si>
    <t xml:space="preserve">tiri al portiere progressivi</t>
  </si>
  <si>
    <t xml:space="preserve">passaggi a coppie da fermi</t>
  </si>
  <si>
    <t xml:space="preserve">veloce</t>
  </si>
  <si>
    <t xml:space="preserve">partenza dalla posizione verticale al fischio</t>
  </si>
  <si>
    <t xml:space="preserve">10 m sprint, giro di 180° al fischio, 10 m sprint</t>
  </si>
  <si>
    <t xml:space="preserve">12,5 testa alta + 12,5 dorso polo</t>
  </si>
  <si>
    <t xml:space="preserve">conduzione palla</t>
  </si>
  <si>
    <t xml:space="preserve">conduzione palla, ritmo costante</t>
  </si>
  <si>
    <t xml:space="preserve">sprint con giro di 180° a metà vasca</t>
  </si>
  <si>
    <t xml:space="preserve">partenza al fischio, come in contropiede</t>
  </si>
  <si>
    <t xml:space="preserve">gambe rana pallanuoto, braccia fuori dall'acqua</t>
  </si>
  <si>
    <t xml:space="preserve">gambe in verticale tenendo un peso sopra la testa</t>
  </si>
  <si>
    <t xml:space="preserve">spostamenti laterali dx/sx in verticale, busto alto</t>
  </si>
  <si>
    <t xml:space="preserve">salti/esplosioni fuori dall'acqua dalla verticale</t>
  </si>
  <si>
    <t xml:space="preserve">gambe rana pallanuoto, mani fuori</t>
  </si>
  <si>
    <t xml:space="preserve">avanzamento in verticale con gambe, braccia fuori</t>
  </si>
  <si>
    <t xml:space="preserve">spinta frontale a coppie in verticale</t>
  </si>
  <si>
    <t xml:space="preserve">dalla verticale scatto orizzontale di 5 m</t>
  </si>
  <si>
    <t xml:space="preserve">gambe con mani sopra la testa, a gara</t>
  </si>
  <si>
    <t xml:space="preserve">gambe in verticale con palla tenuta in alto con una mano</t>
  </si>
  <si>
    <t xml:space="preserve">passaggi a coppie, alterna mano dx e sx</t>
  </si>
  <si>
    <t xml:space="preserve">terne che avanzano lungo la vasca passandosi la palla</t>
  </si>
  <si>
    <t xml:space="preserve">ricezione, palleggio sul posto, passaggio</t>
  </si>
  <si>
    <t xml:space="preserve">passaggio e scatto in avanti, ricezione in movimento</t>
  </si>
  <si>
    <t xml:space="preserve">due attaccanti si passano la palla con un difensore in mezzo</t>
  </si>
  <si>
    <t xml:space="preserve">alterna passaggi in aria (asciutti) e sull'acqua (bagnati)</t>
  </si>
  <si>
    <t xml:space="preserve">6 giocatori in posizione d'attacco, circolazione veloce</t>
  </si>
  <si>
    <t xml:space="preserve">lanci lunghi del portiere a giocatori in contropiede</t>
  </si>
  <si>
    <t xml:space="preserve">tiri da 5 m mirando agli angoli alti e bassi</t>
  </si>
  <si>
    <t xml:space="preserve">conduzione palla 10 m e tiro in movimento</t>
  </si>
  <si>
    <t xml:space="preserve">tiro a pallonetto sopra il portiere</t>
  </si>
  <si>
    <t xml:space="preserve">tiro che rimbalza sull'acqua davanti al portiere</t>
  </si>
  <si>
    <t xml:space="preserve">tiri dai 7-8 m con elevazione</t>
  </si>
  <si>
    <t xml:space="preserve">ricezione spalle alla porta e tiro di girata</t>
  </si>
  <si>
    <t xml:space="preserve">sprint 15 m e tiro immediato</t>
  </si>
  <si>
    <t xml:space="preserve">rigori a rotazione, il portiere cambia</t>
  </si>
  <si>
    <t xml:space="preserve">attaccante contro difensore, conclusione a rete</t>
  </si>
  <si>
    <t xml:space="preserve">elevazione massima con braccia fuori</t>
  </si>
  <si>
    <t xml:space="preserve">spostamenti laterali palo-palo</t>
  </si>
  <si>
    <t xml:space="preserve">parate su tiri dell'allenatore da varie posizioni</t>
  </si>
  <si>
    <t xml:space="preserve">tiri ravvicinati rapidi da 2-3 m</t>
  </si>
  <si>
    <t xml:space="preserve">rinvii verso un compagno in movimento</t>
  </si>
  <si>
    <t xml:space="preserve">uscita su attaccante solo in contropiede</t>
  </si>
  <si>
    <t xml:space="preserve">difensore in pressing sul portatore</t>
  </si>
  <si>
    <t xml:space="preserve">anticipo, difesa davanti e dietro il centroboa</t>
  </si>
  <si>
    <t xml:space="preserve">difesa a zona con raddoppio sul centroboa</t>
  </si>
  <si>
    <t xml:space="preserve">dopo il tiro, rientro veloce in difesa</t>
  </si>
  <si>
    <t xml:space="preserve">difesa in inferiorità numerica</t>
  </si>
  <si>
    <t xml:space="preserve">circolazione e tagli in attacco 3-3</t>
  </si>
  <si>
    <t xml:space="preserve">attacco con due giocatori in zona 2 metri</t>
  </si>
  <si>
    <t xml:space="preserve">centroboa contro difensore, conquista della posizione</t>
  </si>
  <si>
    <t xml:space="preserve">schema di superiorità 4-2</t>
  </si>
  <si>
    <t xml:space="preserve">schema di superiorità 3-3</t>
  </si>
  <si>
    <t xml:space="preserve">due attaccanti contro un difensore fino al tiro</t>
  </si>
  <si>
    <t xml:space="preserve">tre attaccanti contro due difensori</t>
  </si>
  <si>
    <t xml:space="preserve">partitella a metà campo</t>
  </si>
  <si>
    <t xml:space="preserve">vietati i passaggi bagnati</t>
  </si>
  <si>
    <t xml:space="preserve">tiro obbligatorio entro 3 passaggi</t>
  </si>
  <si>
    <t xml:space="preserve">i gol in contropiede valgono doppio</t>
  </si>
  <si>
    <t xml:space="preserve">partita con regole ufficiali</t>
  </si>
  <si>
    <t xml:space="preserve">partita libera con regole semplificate</t>
  </si>
  <si>
    <t xml:space="preserve">sprint e 10" di gambe con braccia fuori</t>
  </si>
  <si>
    <t xml:space="preserve">stazioni: sprint, gambe con peso, lotta, tiri, salti, dorso polo</t>
  </si>
  <si>
    <t xml:space="preserve">nuoto forte</t>
  </si>
  <si>
    <t xml:space="preserve">dalla verticale, vale il migliore</t>
  </si>
  <si>
    <t xml:space="preserve">tempo di mantenimento con braccia fuori sopra la testa</t>
  </si>
  <si>
    <t xml:space="preserve">registra tutti i tempi (calo di prestazione)</t>
  </si>
  <si>
    <t xml:space="preserve">10 tiri nei 4 angoli, conta i centri</t>
  </si>
  <si>
    <t xml:space="preserve">rotazioni interne/esterne, tirate, Y-T-W</t>
  </si>
  <si>
    <t xml:space="preserve">mobilità di spalle, anche, caviglie e colonna</t>
  </si>
  <si>
    <t xml:space="preserve">plank, plank laterale, dead bug, superman</t>
  </si>
  <si>
    <t xml:space="preserve">squat, affondi, piegamenti, trazioni assistite, salti</t>
  </si>
  <si>
    <t xml:space="preserve">allungamento statico dei principali gruppi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</si>
</sst>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DEDED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26.8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6.85" hidden="false" customHeight="false" outlineLevel="0" collapsed="false">
      <c r="A15" s="2" t="s">
        <v>12</v>
      </c>
    </row>
    <row r="16" customFormat="false" ht="26.85" hidden="false" customHeight="false" outlineLevel="0" collapsed="false">
      <c r="A16" s="2" t="s">
        <v>13</v>
      </c>
    </row>
    <row r="17" customFormat="false" ht="26.8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13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4"/>
    <col collapsed="false" customWidth="true" hidden="false" outlineLevel="0" max="14" min="14" style="0" width="11"/>
    <col collapsed="false" customWidth="true" hidden="false" outlineLevel="0" max="15" min="15" style="0" width="13"/>
  </cols>
  <sheetData>
    <row r="1" customFormat="false" ht="31.5" hidden="false" customHeight="tru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</row>
    <row r="2" customFormat="false" ht="15" hidden="false" customHeight="false" outlineLevel="0" collapsed="false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/>
      <c r="K2" s="6" t="n">
        <f aca="false">SUMPRODUCT((Parti!$A$2:$A$3000=A2)*Parti!$C$2:$C$3000*Parti!$D$2:$D$3000*Parti!$E$2:$E$3000)</f>
        <v>400</v>
      </c>
      <c r="L2" s="6" t="n">
        <f aca="false">ROUND((K2*Legenda!$H$2/100+SUMPRODUCT((Parti!$A$2:$A$3000=A2)*Parti!$C$2:$C$3000*Parti!$D$2:$D$3000*(Parti!$F$2:$F$3000+Parti!$J$2:$J$3000)))/60,0)</f>
        <v>7</v>
      </c>
      <c r="M2" s="5"/>
      <c r="N2" s="5" t="s">
        <v>42</v>
      </c>
      <c r="O2" s="5" t="s">
        <v>43</v>
      </c>
    </row>
    <row r="3" customFormat="false" ht="15" hidden="false" customHeight="false" outlineLevel="0" collapsed="false">
      <c r="A3" s="5" t="s">
        <v>44</v>
      </c>
      <c r="B3" s="5" t="s">
        <v>34</v>
      </c>
      <c r="C3" s="5" t="s">
        <v>35</v>
      </c>
      <c r="D3" s="5" t="s">
        <v>45</v>
      </c>
      <c r="E3" s="5" t="s">
        <v>37</v>
      </c>
      <c r="F3" s="5" t="s">
        <v>46</v>
      </c>
      <c r="G3" s="5" t="s">
        <v>47</v>
      </c>
      <c r="H3" s="5" t="s">
        <v>48</v>
      </c>
      <c r="I3" s="5" t="s">
        <v>41</v>
      </c>
      <c r="J3" s="5"/>
      <c r="K3" s="6" t="n">
        <f aca="false">SUMPRODUCT((Parti!$A$2:$A$3000=A3)*Parti!$C$2:$C$3000*Parti!$D$2:$D$3000*Parti!$E$2:$E$3000)</f>
        <v>300</v>
      </c>
      <c r="L3" s="6" t="n">
        <f aca="false">ROUND((K3*Legenda!$H$2/100+SUMPRODUCT((Parti!$A$2:$A$3000=A3)*Parti!$C$2:$C$3000*Parti!$D$2:$D$3000*(Parti!$F$2:$F$3000+Parti!$J$2:$J$3000)))/60,0)</f>
        <v>6</v>
      </c>
      <c r="M3" s="5"/>
      <c r="N3" s="5" t="s">
        <v>42</v>
      </c>
      <c r="O3" s="5" t="s">
        <v>43</v>
      </c>
    </row>
    <row r="4" customFormat="false" ht="15" hidden="false" customHeight="false" outlineLevel="0" collapsed="false">
      <c r="A4" s="5" t="s">
        <v>49</v>
      </c>
      <c r="B4" s="5" t="s">
        <v>34</v>
      </c>
      <c r="C4" s="5" t="s">
        <v>35</v>
      </c>
      <c r="D4" s="5" t="s">
        <v>45</v>
      </c>
      <c r="E4" s="5" t="s">
        <v>37</v>
      </c>
      <c r="F4" s="5" t="s">
        <v>50</v>
      </c>
      <c r="G4" s="5" t="s">
        <v>51</v>
      </c>
      <c r="H4" s="5" t="s">
        <v>52</v>
      </c>
      <c r="I4" s="5" t="s">
        <v>53</v>
      </c>
      <c r="J4" s="5"/>
      <c r="K4" s="6" t="n">
        <f aca="false">SUMPRODUCT((Parti!$A$2:$A$3000=A4)*Parti!$C$2:$C$3000*Parti!$D$2:$D$3000*Parti!$E$2:$E$3000)</f>
        <v>400</v>
      </c>
      <c r="L4" s="6" t="n">
        <f aca="false">ROUND((K4*Legenda!$H$2/100+SUMPRODUCT((Parti!$A$2:$A$3000=A4)*Parti!$C$2:$C$3000*Parti!$D$2:$D$3000*(Parti!$F$2:$F$3000+Parti!$J$2:$J$3000)))/60,0)</f>
        <v>9</v>
      </c>
      <c r="M4" s="5"/>
      <c r="N4" s="5" t="s">
        <v>42</v>
      </c>
      <c r="O4" s="5" t="s">
        <v>43</v>
      </c>
    </row>
    <row r="5" customFormat="false" ht="15" hidden="false" customHeight="false" outlineLevel="0" collapsed="false">
      <c r="A5" s="5" t="s">
        <v>54</v>
      </c>
      <c r="B5" s="5" t="s">
        <v>34</v>
      </c>
      <c r="C5" s="5" t="s">
        <v>35</v>
      </c>
      <c r="D5" s="5" t="s">
        <v>45</v>
      </c>
      <c r="E5" s="5" t="s">
        <v>37</v>
      </c>
      <c r="F5" s="5" t="s">
        <v>55</v>
      </c>
      <c r="G5" s="5" t="s">
        <v>56</v>
      </c>
      <c r="H5" s="5" t="s">
        <v>40</v>
      </c>
      <c r="I5" s="5" t="s">
        <v>53</v>
      </c>
      <c r="J5" s="5"/>
      <c r="K5" s="6" t="n">
        <f aca="false">SUMPRODUCT((Parti!$A$2:$A$3000=A5)*Parti!$C$2:$C$3000*Parti!$D$2:$D$3000*Parti!$E$2:$E$3000)</f>
        <v>600</v>
      </c>
      <c r="L5" s="6" t="n">
        <f aca="false">ROUND((K5*Legenda!$H$2/100+SUMPRODUCT((Parti!$A$2:$A$3000=A5)*Parti!$C$2:$C$3000*Parti!$D$2:$D$3000*(Parti!$F$2:$F$3000+Parti!$J$2:$J$3000)))/60,0)</f>
        <v>12</v>
      </c>
      <c r="M5" s="5"/>
      <c r="N5" s="5" t="s">
        <v>42</v>
      </c>
      <c r="O5" s="5" t="s">
        <v>43</v>
      </c>
    </row>
    <row r="6" customFormat="false" ht="15" hidden="false" customHeight="false" outlineLevel="0" collapsed="false">
      <c r="A6" s="5" t="s">
        <v>57</v>
      </c>
      <c r="B6" s="5" t="s">
        <v>34</v>
      </c>
      <c r="C6" s="5" t="s">
        <v>35</v>
      </c>
      <c r="D6" s="5" t="s">
        <v>45</v>
      </c>
      <c r="E6" s="5" t="s">
        <v>37</v>
      </c>
      <c r="F6" s="5" t="s">
        <v>58</v>
      </c>
      <c r="G6" s="5" t="s">
        <v>59</v>
      </c>
      <c r="H6" s="5" t="s">
        <v>48</v>
      </c>
      <c r="I6" s="5" t="s">
        <v>41</v>
      </c>
      <c r="J6" s="5"/>
      <c r="K6" s="6" t="n">
        <f aca="false">SUMPRODUCT((Parti!$A$2:$A$3000=A6)*Parti!$C$2:$C$3000*Parti!$D$2:$D$3000*Parti!$E$2:$E$3000)</f>
        <v>400</v>
      </c>
      <c r="L6" s="6" t="n">
        <f aca="false">ROUND((K6*Legenda!$H$2/100+SUMPRODUCT((Parti!$A$2:$A$3000=A6)*Parti!$C$2:$C$3000*Parti!$D$2:$D$3000*(Parti!$F$2:$F$3000+Parti!$J$2:$J$3000)))/60,0)</f>
        <v>8</v>
      </c>
      <c r="M6" s="5"/>
      <c r="N6" s="5" t="s">
        <v>42</v>
      </c>
      <c r="O6" s="5" t="s">
        <v>43</v>
      </c>
    </row>
    <row r="7" customFormat="false" ht="15" hidden="false" customHeight="false" outlineLevel="0" collapsed="false">
      <c r="A7" s="5" t="s">
        <v>60</v>
      </c>
      <c r="B7" s="5" t="s">
        <v>34</v>
      </c>
      <c r="C7" s="5" t="s">
        <v>35</v>
      </c>
      <c r="D7" s="5" t="s">
        <v>45</v>
      </c>
      <c r="E7" s="5" t="s">
        <v>37</v>
      </c>
      <c r="F7" s="5" t="s">
        <v>61</v>
      </c>
      <c r="G7" s="5" t="s">
        <v>62</v>
      </c>
      <c r="H7" s="5" t="s">
        <v>40</v>
      </c>
      <c r="I7" s="5" t="s">
        <v>53</v>
      </c>
      <c r="J7" s="5" t="s">
        <v>63</v>
      </c>
      <c r="K7" s="6" t="n">
        <f aca="false">SUMPRODUCT((Parti!$A$2:$A$3000=A7)*Parti!$C$2:$C$3000*Parti!$D$2:$D$3000*Parti!$E$2:$E$3000)</f>
        <v>600</v>
      </c>
      <c r="L7" s="6" t="n">
        <f aca="false">ROUND((K7*Legenda!$H$2/100+SUMPRODUCT((Parti!$A$2:$A$3000=A7)*Parti!$C$2:$C$3000*Parti!$D$2:$D$3000*(Parti!$F$2:$F$3000+Parti!$J$2:$J$3000)))/60,0)</f>
        <v>13</v>
      </c>
      <c r="M7" s="5"/>
      <c r="N7" s="5" t="s">
        <v>42</v>
      </c>
      <c r="O7" s="5" t="s">
        <v>43</v>
      </c>
    </row>
    <row r="8" customFormat="false" ht="15" hidden="false" customHeight="false" outlineLevel="0" collapsed="false">
      <c r="A8" s="5" t="s">
        <v>64</v>
      </c>
      <c r="B8" s="5" t="s">
        <v>34</v>
      </c>
      <c r="C8" s="5" t="s">
        <v>35</v>
      </c>
      <c r="D8" s="5" t="s">
        <v>45</v>
      </c>
      <c r="E8" s="5" t="s">
        <v>37</v>
      </c>
      <c r="F8" s="5" t="s">
        <v>65</v>
      </c>
      <c r="G8" s="5" t="s">
        <v>66</v>
      </c>
      <c r="H8" s="5" t="s">
        <v>40</v>
      </c>
      <c r="I8" s="5" t="s">
        <v>67</v>
      </c>
      <c r="J8" s="5"/>
      <c r="K8" s="6" t="n">
        <f aca="false">SUMPRODUCT((Parti!$A$2:$A$3000=A8)*Parti!$C$2:$C$3000*Parti!$D$2:$D$3000*Parti!$E$2:$E$3000)</f>
        <v>300</v>
      </c>
      <c r="L8" s="6" t="n">
        <f aca="false">ROUND((K8*Legenda!$H$2/100+SUMPRODUCT((Parti!$A$2:$A$3000=A8)*Parti!$C$2:$C$3000*Parti!$D$2:$D$3000*(Parti!$F$2:$F$3000+Parti!$J$2:$J$3000)))/60,0)</f>
        <v>8</v>
      </c>
      <c r="M8" s="5"/>
      <c r="N8" s="5" t="s">
        <v>42</v>
      </c>
      <c r="O8" s="5" t="s">
        <v>43</v>
      </c>
    </row>
    <row r="9" customFormat="false" ht="15" hidden="false" customHeight="false" outlineLevel="0" collapsed="false">
      <c r="A9" s="5" t="s">
        <v>68</v>
      </c>
      <c r="B9" s="5" t="s">
        <v>69</v>
      </c>
      <c r="C9" s="5" t="s">
        <v>35</v>
      </c>
      <c r="D9" s="5" t="s">
        <v>45</v>
      </c>
      <c r="E9" s="5" t="s">
        <v>37</v>
      </c>
      <c r="F9" s="5" t="s">
        <v>70</v>
      </c>
      <c r="G9" s="5" t="s">
        <v>71</v>
      </c>
      <c r="H9" s="5" t="s">
        <v>52</v>
      </c>
      <c r="I9" s="5" t="s">
        <v>67</v>
      </c>
      <c r="J9" s="5"/>
      <c r="K9" s="6" t="n">
        <f aca="false">SUMPRODUCT((Parti!$A$2:$A$3000=A9)*Parti!$C$2:$C$3000*Parti!$D$2:$D$3000*Parti!$E$2:$E$3000)</f>
        <v>200</v>
      </c>
      <c r="L9" s="6" t="n">
        <f aca="false">ROUND((K9*Legenda!$H$2/100+SUMPRODUCT((Parti!$A$2:$A$3000=A9)*Parti!$C$2:$C$3000*Parti!$D$2:$D$3000*(Parti!$F$2:$F$3000+Parti!$J$2:$J$3000)))/60,0)</f>
        <v>5</v>
      </c>
      <c r="M9" s="5"/>
      <c r="N9" s="5" t="s">
        <v>42</v>
      </c>
      <c r="O9" s="5" t="s">
        <v>43</v>
      </c>
    </row>
    <row r="10" customFormat="false" ht="15" hidden="false" customHeight="false" outlineLevel="0" collapsed="false">
      <c r="A10" s="5" t="s">
        <v>72</v>
      </c>
      <c r="B10" s="5" t="s">
        <v>34</v>
      </c>
      <c r="C10" s="5" t="s">
        <v>35</v>
      </c>
      <c r="D10" s="5" t="s">
        <v>45</v>
      </c>
      <c r="E10" s="5" t="s">
        <v>37</v>
      </c>
      <c r="F10" s="5" t="s">
        <v>73</v>
      </c>
      <c r="G10" s="5" t="s">
        <v>74</v>
      </c>
      <c r="H10" s="5" t="s">
        <v>40</v>
      </c>
      <c r="I10" s="5" t="s">
        <v>75</v>
      </c>
      <c r="J10" s="5"/>
      <c r="K10" s="6" t="n">
        <f aca="false">SUMPRODUCT((Parti!$A$2:$A$3000=A10)*Parti!$C$2:$C$3000*Parti!$D$2:$D$3000*Parti!$E$2:$E$3000)</f>
        <v>500</v>
      </c>
      <c r="L10" s="6" t="n">
        <f aca="false">ROUND((K10*Legenda!$H$2/100+SUMPRODUCT((Parti!$A$2:$A$3000=A10)*Parti!$C$2:$C$3000*Parti!$D$2:$D$3000*(Parti!$F$2:$F$3000+Parti!$J$2:$J$3000)))/60,0)</f>
        <v>11</v>
      </c>
      <c r="M10" s="5"/>
      <c r="N10" s="5" t="s">
        <v>42</v>
      </c>
      <c r="O10" s="5" t="s">
        <v>43</v>
      </c>
    </row>
    <row r="11" customFormat="false" ht="15" hidden="false" customHeight="false" outlineLevel="0" collapsed="false">
      <c r="A11" s="5" t="s">
        <v>76</v>
      </c>
      <c r="B11" s="5" t="s">
        <v>34</v>
      </c>
      <c r="C11" s="5" t="s">
        <v>35</v>
      </c>
      <c r="D11" s="5" t="s">
        <v>45</v>
      </c>
      <c r="E11" s="5" t="s">
        <v>37</v>
      </c>
      <c r="F11" s="5" t="s">
        <v>77</v>
      </c>
      <c r="G11" s="5" t="s">
        <v>78</v>
      </c>
      <c r="H11" s="5" t="s">
        <v>52</v>
      </c>
      <c r="I11" s="5" t="s">
        <v>41</v>
      </c>
      <c r="J11" s="5"/>
      <c r="K11" s="6" t="n">
        <f aca="false">SUMPRODUCT((Parti!$A$2:$A$3000=A11)*Parti!$C$2:$C$3000*Parti!$D$2:$D$3000*Parti!$E$2:$E$3000)</f>
        <v>400</v>
      </c>
      <c r="L11" s="6" t="n">
        <f aca="false">ROUND((K11*Legenda!$H$2/100+SUMPRODUCT((Parti!$A$2:$A$3000=A11)*Parti!$C$2:$C$3000*Parti!$D$2:$D$3000*(Parti!$F$2:$F$3000+Parti!$J$2:$J$3000)))/60,0)</f>
        <v>8</v>
      </c>
      <c r="M11" s="5"/>
      <c r="N11" s="5" t="s">
        <v>42</v>
      </c>
      <c r="O11" s="5" t="s">
        <v>43</v>
      </c>
    </row>
    <row r="12" customFormat="false" ht="15" hidden="false" customHeight="false" outlineLevel="0" collapsed="false">
      <c r="A12" s="5" t="s">
        <v>79</v>
      </c>
      <c r="B12" s="5" t="s">
        <v>34</v>
      </c>
      <c r="C12" s="5" t="s">
        <v>35</v>
      </c>
      <c r="D12" s="5" t="s">
        <v>45</v>
      </c>
      <c r="E12" s="5" t="s">
        <v>37</v>
      </c>
      <c r="F12" s="5" t="s">
        <v>80</v>
      </c>
      <c r="G12" s="5" t="s">
        <v>81</v>
      </c>
      <c r="H12" s="5" t="s">
        <v>40</v>
      </c>
      <c r="I12" s="5" t="s">
        <v>82</v>
      </c>
      <c r="J12" s="5" t="s">
        <v>83</v>
      </c>
      <c r="K12" s="6" t="n">
        <f aca="false">SUMPRODUCT((Parti!$A$2:$A$3000=A12)*Parti!$C$2:$C$3000*Parti!$D$2:$D$3000*Parti!$E$2:$E$3000)</f>
        <v>800</v>
      </c>
      <c r="L12" s="6" t="n">
        <f aca="false">ROUND((K12*Legenda!$H$2/100+SUMPRODUCT((Parti!$A$2:$A$3000=A12)*Parti!$C$2:$C$3000*Parti!$D$2:$D$3000*(Parti!$F$2:$F$3000+Parti!$J$2:$J$3000)))/60,0)</f>
        <v>15</v>
      </c>
      <c r="M12" s="5"/>
      <c r="N12" s="5" t="s">
        <v>42</v>
      </c>
      <c r="O12" s="5" t="s">
        <v>43</v>
      </c>
    </row>
    <row r="13" customFormat="false" ht="15" hidden="false" customHeight="false" outlineLevel="0" collapsed="false">
      <c r="A13" s="5" t="s">
        <v>84</v>
      </c>
      <c r="B13" s="5" t="s">
        <v>34</v>
      </c>
      <c r="C13" s="5" t="s">
        <v>35</v>
      </c>
      <c r="D13" s="5" t="s">
        <v>45</v>
      </c>
      <c r="E13" s="5" t="s">
        <v>37</v>
      </c>
      <c r="F13" s="5" t="s">
        <v>85</v>
      </c>
      <c r="G13" s="5" t="s">
        <v>86</v>
      </c>
      <c r="H13" s="5" t="s">
        <v>52</v>
      </c>
      <c r="I13" s="5" t="s">
        <v>53</v>
      </c>
      <c r="J13" s="5"/>
      <c r="K13" s="6" t="n">
        <f aca="false">SUMPRODUCT((Parti!$A$2:$A$3000=A13)*Parti!$C$2:$C$3000*Parti!$D$2:$D$3000*Parti!$E$2:$E$3000)</f>
        <v>600</v>
      </c>
      <c r="L13" s="6" t="n">
        <f aca="false">ROUND((K13*Legenda!$H$2/100+SUMPRODUCT((Parti!$A$2:$A$3000=A13)*Parti!$C$2:$C$3000*Parti!$D$2:$D$3000*(Parti!$F$2:$F$3000+Parti!$J$2:$J$3000)))/60,0)</f>
        <v>13</v>
      </c>
      <c r="M13" s="5"/>
      <c r="N13" s="5" t="s">
        <v>42</v>
      </c>
      <c r="O13" s="5" t="s">
        <v>43</v>
      </c>
    </row>
    <row r="14" customFormat="false" ht="15" hidden="false" customHeight="false" outlineLevel="0" collapsed="false">
      <c r="A14" s="5" t="s">
        <v>87</v>
      </c>
      <c r="B14" s="5" t="s">
        <v>69</v>
      </c>
      <c r="C14" s="5" t="s">
        <v>35</v>
      </c>
      <c r="D14" s="5" t="s">
        <v>88</v>
      </c>
      <c r="E14" s="5" t="s">
        <v>37</v>
      </c>
      <c r="F14" s="5" t="s">
        <v>89</v>
      </c>
      <c r="G14" s="5" t="s">
        <v>90</v>
      </c>
      <c r="H14" s="5" t="s">
        <v>40</v>
      </c>
      <c r="I14" s="5" t="s">
        <v>41</v>
      </c>
      <c r="J14" s="5"/>
      <c r="K14" s="6" t="n">
        <f aca="false">SUMPRODUCT((Parti!$A$2:$A$3000=A14)*Parti!$C$2:$C$3000*Parti!$D$2:$D$3000*Parti!$E$2:$E$3000)</f>
        <v>600</v>
      </c>
      <c r="L14" s="6" t="n">
        <f aca="false">ROUND((K14*Legenda!$H$2/100+SUMPRODUCT((Parti!$A$2:$A$3000=A14)*Parti!$C$2:$C$3000*Parti!$D$2:$D$3000*(Parti!$F$2:$F$3000+Parti!$J$2:$J$3000)))/60,0)</f>
        <v>13</v>
      </c>
      <c r="M14" s="5"/>
      <c r="N14" s="5" t="s">
        <v>42</v>
      </c>
      <c r="O14" s="5" t="s">
        <v>43</v>
      </c>
    </row>
    <row r="15" customFormat="false" ht="15" hidden="false" customHeight="false" outlineLevel="0" collapsed="false">
      <c r="A15" s="5" t="s">
        <v>91</v>
      </c>
      <c r="B15" s="5" t="s">
        <v>69</v>
      </c>
      <c r="C15" s="5" t="s">
        <v>35</v>
      </c>
      <c r="D15" s="5" t="s">
        <v>88</v>
      </c>
      <c r="E15" s="5" t="s">
        <v>37</v>
      </c>
      <c r="F15" s="5" t="s">
        <v>92</v>
      </c>
      <c r="G15" s="5" t="s">
        <v>93</v>
      </c>
      <c r="H15" s="5" t="s">
        <v>40</v>
      </c>
      <c r="I15" s="5" t="s">
        <v>53</v>
      </c>
      <c r="J15" s="5" t="s">
        <v>83</v>
      </c>
      <c r="K15" s="6" t="n">
        <f aca="false">SUMPRODUCT((Parti!$A$2:$A$3000=A15)*Parti!$C$2:$C$3000*Parti!$D$2:$D$3000*Parti!$E$2:$E$3000)</f>
        <v>550</v>
      </c>
      <c r="L15" s="6" t="n">
        <f aca="false">ROUND((K15*Legenda!$H$2/100+SUMPRODUCT((Parti!$A$2:$A$3000=A15)*Parti!$C$2:$C$3000*Parti!$D$2:$D$3000*(Parti!$F$2:$F$3000+Parti!$J$2:$J$3000)))/60,0)</f>
        <v>13</v>
      </c>
      <c r="M15" s="5"/>
      <c r="N15" s="5" t="s">
        <v>42</v>
      </c>
      <c r="O15" s="5" t="s">
        <v>43</v>
      </c>
    </row>
    <row r="16" customFormat="false" ht="15" hidden="false" customHeight="false" outlineLevel="0" collapsed="false">
      <c r="A16" s="5" t="s">
        <v>94</v>
      </c>
      <c r="B16" s="5" t="s">
        <v>69</v>
      </c>
      <c r="C16" s="5" t="s">
        <v>35</v>
      </c>
      <c r="D16" s="5" t="s">
        <v>88</v>
      </c>
      <c r="E16" s="5" t="s">
        <v>37</v>
      </c>
      <c r="F16" s="5" t="s">
        <v>95</v>
      </c>
      <c r="G16" s="5" t="s">
        <v>96</v>
      </c>
      <c r="H16" s="5" t="s">
        <v>40</v>
      </c>
      <c r="I16" s="5" t="s">
        <v>41</v>
      </c>
      <c r="J16" s="5"/>
      <c r="K16" s="6" t="n">
        <f aca="false">SUMPRODUCT((Parti!$A$2:$A$3000=A16)*Parti!$C$2:$C$3000*Parti!$D$2:$D$3000*Parti!$E$2:$E$3000)</f>
        <v>600</v>
      </c>
      <c r="L16" s="6" t="n">
        <f aca="false">ROUND((K16*Legenda!$H$2/100+SUMPRODUCT((Parti!$A$2:$A$3000=A16)*Parti!$C$2:$C$3000*Parti!$D$2:$D$3000*(Parti!$F$2:$F$3000+Parti!$J$2:$J$3000)))/60,0)</f>
        <v>13</v>
      </c>
      <c r="M16" s="5"/>
      <c r="N16" s="5" t="s">
        <v>42</v>
      </c>
      <c r="O16" s="5" t="s">
        <v>43</v>
      </c>
    </row>
    <row r="17" customFormat="false" ht="15" hidden="false" customHeight="false" outlineLevel="0" collapsed="false">
      <c r="A17" s="5" t="s">
        <v>97</v>
      </c>
      <c r="B17" s="5" t="s">
        <v>69</v>
      </c>
      <c r="C17" s="5" t="s">
        <v>35</v>
      </c>
      <c r="D17" s="5" t="s">
        <v>98</v>
      </c>
      <c r="E17" s="5" t="s">
        <v>99</v>
      </c>
      <c r="F17" s="5" t="s">
        <v>100</v>
      </c>
      <c r="G17" s="5" t="s">
        <v>101</v>
      </c>
      <c r="H17" s="5" t="s">
        <v>40</v>
      </c>
      <c r="I17" s="5" t="s">
        <v>53</v>
      </c>
      <c r="J17" s="5"/>
      <c r="K17" s="6" t="n">
        <f aca="false">SUMPRODUCT((Parti!$A$2:$A$3000=A17)*Parti!$C$2:$C$3000*Parti!$D$2:$D$3000*Parti!$E$2:$E$3000)</f>
        <v>730</v>
      </c>
      <c r="L17" s="6" t="n">
        <f aca="false">ROUND((K17*Legenda!$H$2/100+SUMPRODUCT((Parti!$A$2:$A$3000=A17)*Parti!$C$2:$C$3000*Parti!$D$2:$D$3000*(Parti!$F$2:$F$3000+Parti!$J$2:$J$3000)))/60,0)</f>
        <v>20</v>
      </c>
      <c r="M17" s="5" t="s">
        <v>102</v>
      </c>
      <c r="N17" s="5" t="s">
        <v>42</v>
      </c>
      <c r="O17" s="5" t="s">
        <v>43</v>
      </c>
    </row>
    <row r="18" customFormat="false" ht="15" hidden="false" customHeight="false" outlineLevel="0" collapsed="false">
      <c r="A18" s="5" t="s">
        <v>103</v>
      </c>
      <c r="B18" s="5" t="s">
        <v>34</v>
      </c>
      <c r="C18" s="5" t="s">
        <v>35</v>
      </c>
      <c r="D18" s="5" t="s">
        <v>45</v>
      </c>
      <c r="E18" s="5" t="s">
        <v>37</v>
      </c>
      <c r="F18" s="5" t="s">
        <v>104</v>
      </c>
      <c r="G18" s="5" t="s">
        <v>105</v>
      </c>
      <c r="H18" s="5" t="s">
        <v>52</v>
      </c>
      <c r="I18" s="5" t="s">
        <v>41</v>
      </c>
      <c r="J18" s="5" t="s">
        <v>83</v>
      </c>
      <c r="K18" s="6" t="n">
        <f aca="false">SUMPRODUCT((Parti!$A$2:$A$3000=A18)*Parti!$C$2:$C$3000*Parti!$D$2:$D$3000*Parti!$E$2:$E$3000)</f>
        <v>400</v>
      </c>
      <c r="L18" s="6" t="n">
        <f aca="false">ROUND((K18*Legenda!$H$2/100+SUMPRODUCT((Parti!$A$2:$A$3000=A18)*Parti!$C$2:$C$3000*Parti!$D$2:$D$3000*(Parti!$F$2:$F$3000+Parti!$J$2:$J$3000)))/60,0)</f>
        <v>7</v>
      </c>
      <c r="M18" s="5"/>
      <c r="N18" s="5" t="s">
        <v>42</v>
      </c>
      <c r="O18" s="5" t="s">
        <v>43</v>
      </c>
    </row>
    <row r="19" customFormat="false" ht="15" hidden="false" customHeight="false" outlineLevel="0" collapsed="false">
      <c r="A19" s="5" t="s">
        <v>106</v>
      </c>
      <c r="B19" s="5" t="s">
        <v>34</v>
      </c>
      <c r="C19" s="5" t="s">
        <v>107</v>
      </c>
      <c r="D19" s="5" t="s">
        <v>98</v>
      </c>
      <c r="E19" s="5" t="s">
        <v>108</v>
      </c>
      <c r="F19" s="5" t="s">
        <v>109</v>
      </c>
      <c r="G19" s="5" t="s">
        <v>110</v>
      </c>
      <c r="H19" s="5" t="s">
        <v>48</v>
      </c>
      <c r="I19" s="5" t="s">
        <v>111</v>
      </c>
      <c r="J19" s="5"/>
      <c r="K19" s="6" t="n">
        <f aca="false">SUMPRODUCT((Parti!$A$2:$A$3000=A19)*Parti!$C$2:$C$3000*Parti!$D$2:$D$3000*Parti!$E$2:$E$3000)</f>
        <v>150</v>
      </c>
      <c r="L19" s="6" t="n">
        <f aca="false">ROUND((K19*Legenda!$H$2/100+SUMPRODUCT((Parti!$A$2:$A$3000=A19)*Parti!$C$2:$C$3000*Parti!$D$2:$D$3000*(Parti!$F$2:$F$3000+Parti!$J$2:$J$3000)))/60,0)</f>
        <v>5</v>
      </c>
      <c r="M19" s="5"/>
      <c r="N19" s="5" t="s">
        <v>42</v>
      </c>
      <c r="O19" s="5" t="s">
        <v>43</v>
      </c>
    </row>
    <row r="20" customFormat="false" ht="15" hidden="false" customHeight="false" outlineLevel="0" collapsed="false">
      <c r="A20" s="5" t="s">
        <v>112</v>
      </c>
      <c r="B20" s="5" t="s">
        <v>69</v>
      </c>
      <c r="C20" s="5" t="s">
        <v>107</v>
      </c>
      <c r="D20" s="5" t="s">
        <v>98</v>
      </c>
      <c r="E20" s="5" t="s">
        <v>108</v>
      </c>
      <c r="F20" s="5" t="s">
        <v>113</v>
      </c>
      <c r="G20" s="5" t="s">
        <v>114</v>
      </c>
      <c r="H20" s="5" t="s">
        <v>115</v>
      </c>
      <c r="I20" s="5" t="s">
        <v>111</v>
      </c>
      <c r="J20" s="5"/>
      <c r="K20" s="6" t="n">
        <f aca="false">SUMPRODUCT((Parti!$A$2:$A$3000=A20)*Parti!$C$2:$C$3000*Parti!$D$2:$D$3000*Parti!$E$2:$E$3000)</f>
        <v>150</v>
      </c>
      <c r="L20" s="6" t="n">
        <f aca="false">ROUND((K20*Legenda!$H$2/100+SUMPRODUCT((Parti!$A$2:$A$3000=A20)*Parti!$C$2:$C$3000*Parti!$D$2:$D$3000*(Parti!$F$2:$F$3000+Parti!$J$2:$J$3000)))/60,0)</f>
        <v>5</v>
      </c>
      <c r="M20" s="5"/>
      <c r="N20" s="5" t="s">
        <v>42</v>
      </c>
      <c r="O20" s="5" t="s">
        <v>43</v>
      </c>
    </row>
    <row r="21" customFormat="false" ht="15" hidden="false" customHeight="false" outlineLevel="0" collapsed="false">
      <c r="A21" s="5" t="s">
        <v>116</v>
      </c>
      <c r="B21" s="5" t="s">
        <v>69</v>
      </c>
      <c r="C21" s="5" t="s">
        <v>107</v>
      </c>
      <c r="D21" s="5" t="s">
        <v>98</v>
      </c>
      <c r="E21" s="5" t="s">
        <v>108</v>
      </c>
      <c r="F21" s="5" t="s">
        <v>117</v>
      </c>
      <c r="G21" s="5" t="s">
        <v>118</v>
      </c>
      <c r="H21" s="5" t="s">
        <v>119</v>
      </c>
      <c r="I21" s="5" t="s">
        <v>111</v>
      </c>
      <c r="J21" s="5"/>
      <c r="K21" s="6" t="n">
        <f aca="false">SUMPRODUCT((Parti!$A$2:$A$3000=A21)*Parti!$C$2:$C$3000*Parti!$D$2:$D$3000*Parti!$E$2:$E$3000)</f>
        <v>150</v>
      </c>
      <c r="L21" s="6" t="n">
        <f aca="false">ROUND((K21*Legenda!$H$2/100+SUMPRODUCT((Parti!$A$2:$A$3000=A21)*Parti!$C$2:$C$3000*Parti!$D$2:$D$3000*(Parti!$F$2:$F$3000+Parti!$J$2:$J$3000)))/60,0)</f>
        <v>5</v>
      </c>
      <c r="M21" s="5"/>
      <c r="N21" s="5" t="s">
        <v>42</v>
      </c>
      <c r="O21" s="5" t="s">
        <v>43</v>
      </c>
    </row>
    <row r="22" customFormat="false" ht="15" hidden="false" customHeight="false" outlineLevel="0" collapsed="false">
      <c r="A22" s="5" t="s">
        <v>120</v>
      </c>
      <c r="B22" s="5" t="s">
        <v>69</v>
      </c>
      <c r="C22" s="5" t="s">
        <v>107</v>
      </c>
      <c r="D22" s="5" t="s">
        <v>98</v>
      </c>
      <c r="E22" s="5" t="s">
        <v>108</v>
      </c>
      <c r="F22" s="5" t="s">
        <v>121</v>
      </c>
      <c r="G22" s="5" t="s">
        <v>122</v>
      </c>
      <c r="H22" s="5" t="s">
        <v>123</v>
      </c>
      <c r="I22" s="5" t="s">
        <v>111</v>
      </c>
      <c r="J22" s="5"/>
      <c r="K22" s="6" t="n">
        <f aca="false">SUMPRODUCT((Parti!$A$2:$A$3000=A22)*Parti!$C$2:$C$3000*Parti!$D$2:$D$3000*Parti!$E$2:$E$3000)</f>
        <v>150</v>
      </c>
      <c r="L22" s="6" t="n">
        <f aca="false">ROUND((K22*Legenda!$H$2/100+SUMPRODUCT((Parti!$A$2:$A$3000=A22)*Parti!$C$2:$C$3000*Parti!$D$2:$D$3000*(Parti!$F$2:$F$3000+Parti!$J$2:$J$3000)))/60,0)</f>
        <v>5</v>
      </c>
      <c r="M22" s="5"/>
      <c r="N22" s="5" t="s">
        <v>42</v>
      </c>
      <c r="O22" s="5" t="s">
        <v>43</v>
      </c>
    </row>
    <row r="23" customFormat="false" ht="15" hidden="false" customHeight="false" outlineLevel="0" collapsed="false">
      <c r="A23" s="5" t="s">
        <v>124</v>
      </c>
      <c r="B23" s="5" t="s">
        <v>34</v>
      </c>
      <c r="C23" s="5" t="s">
        <v>107</v>
      </c>
      <c r="D23" s="5" t="s">
        <v>98</v>
      </c>
      <c r="E23" s="5" t="s">
        <v>108</v>
      </c>
      <c r="F23" s="5" t="s">
        <v>125</v>
      </c>
      <c r="G23" s="5" t="s">
        <v>126</v>
      </c>
      <c r="H23" s="5" t="s">
        <v>52</v>
      </c>
      <c r="I23" s="5" t="s">
        <v>111</v>
      </c>
      <c r="J23" s="5"/>
      <c r="K23" s="6" t="n">
        <f aca="false">SUMPRODUCT((Parti!$A$2:$A$3000=A23)*Parti!$C$2:$C$3000*Parti!$D$2:$D$3000*Parti!$E$2:$E$3000)</f>
        <v>150</v>
      </c>
      <c r="L23" s="6" t="n">
        <f aca="false">ROUND((K23*Legenda!$H$2/100+SUMPRODUCT((Parti!$A$2:$A$3000=A23)*Parti!$C$2:$C$3000*Parti!$D$2:$D$3000*(Parti!$F$2:$F$3000+Parti!$J$2:$J$3000)))/60,0)</f>
        <v>5</v>
      </c>
      <c r="M23" s="5"/>
      <c r="N23" s="5" t="s">
        <v>42</v>
      </c>
      <c r="O23" s="5" t="s">
        <v>43</v>
      </c>
    </row>
    <row r="24" customFormat="false" ht="15" hidden="false" customHeight="false" outlineLevel="0" collapsed="false">
      <c r="A24" s="5" t="s">
        <v>127</v>
      </c>
      <c r="B24" s="5" t="s">
        <v>34</v>
      </c>
      <c r="C24" s="5" t="s">
        <v>107</v>
      </c>
      <c r="D24" s="5" t="s">
        <v>98</v>
      </c>
      <c r="E24" s="5" t="s">
        <v>108</v>
      </c>
      <c r="F24" s="5" t="s">
        <v>128</v>
      </c>
      <c r="G24" s="5" t="s">
        <v>129</v>
      </c>
      <c r="H24" s="5" t="s">
        <v>48</v>
      </c>
      <c r="I24" s="5" t="s">
        <v>41</v>
      </c>
      <c r="J24" s="5"/>
      <c r="K24" s="6" t="n">
        <f aca="false">SUMPRODUCT((Parti!$A$2:$A$3000=A24)*Parti!$C$2:$C$3000*Parti!$D$2:$D$3000*Parti!$E$2:$E$3000)</f>
        <v>200</v>
      </c>
      <c r="L24" s="6" t="n">
        <f aca="false">ROUND((K24*Legenda!$H$2/100+SUMPRODUCT((Parti!$A$2:$A$3000=A24)*Parti!$C$2:$C$3000*Parti!$D$2:$D$3000*(Parti!$F$2:$F$3000+Parti!$J$2:$J$3000)))/60,0)</f>
        <v>5</v>
      </c>
      <c r="M24" s="5"/>
      <c r="N24" s="5" t="s">
        <v>42</v>
      </c>
      <c r="O24" s="5" t="s">
        <v>43</v>
      </c>
    </row>
    <row r="25" customFormat="false" ht="15" hidden="false" customHeight="false" outlineLevel="0" collapsed="false">
      <c r="A25" s="5" t="s">
        <v>130</v>
      </c>
      <c r="B25" s="5" t="s">
        <v>69</v>
      </c>
      <c r="C25" s="5" t="s">
        <v>107</v>
      </c>
      <c r="D25" s="5" t="s">
        <v>98</v>
      </c>
      <c r="E25" s="5" t="s">
        <v>108</v>
      </c>
      <c r="F25" s="5" t="s">
        <v>131</v>
      </c>
      <c r="G25" s="5" t="s">
        <v>132</v>
      </c>
      <c r="H25" s="5" t="s">
        <v>133</v>
      </c>
      <c r="I25" s="5" t="s">
        <v>53</v>
      </c>
      <c r="J25" s="5"/>
      <c r="K25" s="6" t="n">
        <f aca="false">SUMPRODUCT((Parti!$A$2:$A$3000=A25)*Parti!$C$2:$C$3000*Parti!$D$2:$D$3000*Parti!$E$2:$E$3000)</f>
        <v>200</v>
      </c>
      <c r="L25" s="6" t="n">
        <f aca="false">ROUND((K25*Legenda!$H$2/100+SUMPRODUCT((Parti!$A$2:$A$3000=A25)*Parti!$C$2:$C$3000*Parti!$D$2:$D$3000*(Parti!$F$2:$F$3000+Parti!$J$2:$J$3000)))/60,0)</f>
        <v>5</v>
      </c>
      <c r="M25" s="5"/>
      <c r="N25" s="5" t="s">
        <v>42</v>
      </c>
      <c r="O25" s="5" t="s">
        <v>43</v>
      </c>
    </row>
    <row r="26" customFormat="false" ht="15" hidden="false" customHeight="false" outlineLevel="0" collapsed="false">
      <c r="A26" s="5" t="s">
        <v>134</v>
      </c>
      <c r="B26" s="5" t="s">
        <v>34</v>
      </c>
      <c r="C26" s="5" t="s">
        <v>107</v>
      </c>
      <c r="D26" s="5" t="s">
        <v>98</v>
      </c>
      <c r="E26" s="5" t="s">
        <v>135</v>
      </c>
      <c r="F26" s="5" t="s">
        <v>136</v>
      </c>
      <c r="G26" s="5" t="s">
        <v>137</v>
      </c>
      <c r="H26" s="5" t="s">
        <v>133</v>
      </c>
      <c r="I26" s="5" t="s">
        <v>111</v>
      </c>
      <c r="J26" s="5"/>
      <c r="K26" s="6" t="n">
        <f aca="false">SUMPRODUCT((Parti!$A$2:$A$3000=A26)*Parti!$C$2:$C$3000*Parti!$D$2:$D$3000*Parti!$E$2:$E$3000)</f>
        <v>200</v>
      </c>
      <c r="L26" s="6" t="n">
        <f aca="false">ROUND((K26*Legenda!$H$2/100+SUMPRODUCT((Parti!$A$2:$A$3000=A26)*Parti!$C$2:$C$3000*Parti!$D$2:$D$3000*(Parti!$F$2:$F$3000+Parti!$J$2:$J$3000)))/60,0)</f>
        <v>6</v>
      </c>
      <c r="M26" s="5"/>
      <c r="N26" s="5" t="s">
        <v>42</v>
      </c>
      <c r="O26" s="5" t="s">
        <v>43</v>
      </c>
    </row>
    <row r="27" customFormat="false" ht="15" hidden="false" customHeight="false" outlineLevel="0" collapsed="false">
      <c r="A27" s="5" t="s">
        <v>138</v>
      </c>
      <c r="B27" s="5" t="s">
        <v>34</v>
      </c>
      <c r="C27" s="5" t="s">
        <v>107</v>
      </c>
      <c r="D27" s="5" t="s">
        <v>98</v>
      </c>
      <c r="E27" s="5" t="s">
        <v>139</v>
      </c>
      <c r="F27" s="5" t="s">
        <v>140</v>
      </c>
      <c r="G27" s="5" t="s">
        <v>141</v>
      </c>
      <c r="H27" s="5" t="s">
        <v>133</v>
      </c>
      <c r="I27" s="5" t="s">
        <v>41</v>
      </c>
      <c r="J27" s="5"/>
      <c r="K27" s="6" t="n">
        <f aca="false">SUMPRODUCT((Parti!$A$2:$A$3000=A27)*Parti!$C$2:$C$3000*Parti!$D$2:$D$3000*Parti!$E$2:$E$3000)</f>
        <v>200</v>
      </c>
      <c r="L27" s="6" t="n">
        <f aca="false">ROUND((K27*Legenda!$H$2/100+SUMPRODUCT((Parti!$A$2:$A$3000=A27)*Parti!$C$2:$C$3000*Parti!$D$2:$D$3000*(Parti!$F$2:$F$3000+Parti!$J$2:$J$3000)))/60,0)</f>
        <v>5</v>
      </c>
      <c r="M27" s="5"/>
      <c r="N27" s="5" t="s">
        <v>42</v>
      </c>
      <c r="O27" s="5" t="s">
        <v>43</v>
      </c>
    </row>
    <row r="28" customFormat="false" ht="15" hidden="false" customHeight="false" outlineLevel="0" collapsed="false">
      <c r="A28" s="5" t="s">
        <v>142</v>
      </c>
      <c r="B28" s="5" t="s">
        <v>69</v>
      </c>
      <c r="C28" s="5" t="s">
        <v>107</v>
      </c>
      <c r="D28" s="5" t="s">
        <v>98</v>
      </c>
      <c r="E28" s="5" t="s">
        <v>135</v>
      </c>
      <c r="F28" s="5" t="s">
        <v>143</v>
      </c>
      <c r="G28" s="5" t="s">
        <v>144</v>
      </c>
      <c r="H28" s="5" t="s">
        <v>133</v>
      </c>
      <c r="I28" s="5" t="s">
        <v>53</v>
      </c>
      <c r="J28" s="5"/>
      <c r="K28" s="6" t="n">
        <f aca="false">SUMPRODUCT((Parti!$A$2:$A$3000=A28)*Parti!$C$2:$C$3000*Parti!$D$2:$D$3000*Parti!$E$2:$E$3000)</f>
        <v>90</v>
      </c>
      <c r="L28" s="6" t="n">
        <f aca="false">ROUND((K28*Legenda!$H$2/100+SUMPRODUCT((Parti!$A$2:$A$3000=A28)*Parti!$C$2:$C$3000*Parti!$D$2:$D$3000*(Parti!$F$2:$F$3000+Parti!$J$2:$J$3000)))/60,0)</f>
        <v>6</v>
      </c>
      <c r="M28" s="5"/>
      <c r="N28" s="5" t="s">
        <v>42</v>
      </c>
      <c r="O28" s="5" t="s">
        <v>43</v>
      </c>
    </row>
    <row r="29" customFormat="false" ht="15" hidden="false" customHeight="false" outlineLevel="0" collapsed="false">
      <c r="A29" s="5" t="s">
        <v>145</v>
      </c>
      <c r="B29" s="5" t="s">
        <v>69</v>
      </c>
      <c r="C29" s="5" t="s">
        <v>107</v>
      </c>
      <c r="D29" s="5" t="s">
        <v>98</v>
      </c>
      <c r="E29" s="5" t="s">
        <v>135</v>
      </c>
      <c r="F29" s="5" t="s">
        <v>146</v>
      </c>
      <c r="G29" s="5" t="s">
        <v>147</v>
      </c>
      <c r="H29" s="5" t="s">
        <v>123</v>
      </c>
      <c r="I29" s="5" t="s">
        <v>53</v>
      </c>
      <c r="J29" s="5"/>
      <c r="K29" s="6" t="n">
        <f aca="false">SUMPRODUCT((Parti!$A$2:$A$3000=A29)*Parti!$C$2:$C$3000*Parti!$D$2:$D$3000*Parti!$E$2:$E$3000)</f>
        <v>90</v>
      </c>
      <c r="L29" s="6" t="n">
        <f aca="false">ROUND((K29*Legenda!$H$2/100+SUMPRODUCT((Parti!$A$2:$A$3000=A29)*Parti!$C$2:$C$3000*Parti!$D$2:$D$3000*(Parti!$F$2:$F$3000+Parti!$J$2:$J$3000)))/60,0)</f>
        <v>6</v>
      </c>
      <c r="M29" s="5"/>
      <c r="N29" s="5" t="s">
        <v>42</v>
      </c>
      <c r="O29" s="5" t="s">
        <v>43</v>
      </c>
    </row>
    <row r="30" customFormat="false" ht="15" hidden="false" customHeight="false" outlineLevel="0" collapsed="false">
      <c r="A30" s="5" t="s">
        <v>148</v>
      </c>
      <c r="B30" s="5" t="s">
        <v>69</v>
      </c>
      <c r="C30" s="5" t="s">
        <v>107</v>
      </c>
      <c r="D30" s="5" t="s">
        <v>98</v>
      </c>
      <c r="E30" s="5" t="s">
        <v>149</v>
      </c>
      <c r="F30" s="5" t="s">
        <v>150</v>
      </c>
      <c r="G30" s="5" t="s">
        <v>151</v>
      </c>
      <c r="H30" s="5" t="s">
        <v>133</v>
      </c>
      <c r="I30" s="5" t="s">
        <v>53</v>
      </c>
      <c r="J30" s="5"/>
      <c r="K30" s="6" t="n">
        <f aca="false">SUMPRODUCT((Parti!$A$2:$A$3000=A30)*Parti!$C$2:$C$3000*Parti!$D$2:$D$3000*Parti!$E$2:$E$3000)</f>
        <v>100</v>
      </c>
      <c r="L30" s="6" t="n">
        <f aca="false">ROUND((K30*Legenda!$H$2/100+SUMPRODUCT((Parti!$A$2:$A$3000=A30)*Parti!$C$2:$C$3000*Parti!$D$2:$D$3000*(Parti!$F$2:$F$3000+Parti!$J$2:$J$3000)))/60,0)</f>
        <v>5</v>
      </c>
      <c r="M30" s="5"/>
      <c r="N30" s="5" t="s">
        <v>42</v>
      </c>
      <c r="O30" s="5" t="s">
        <v>43</v>
      </c>
    </row>
    <row r="31" customFormat="false" ht="15" hidden="false" customHeight="false" outlineLevel="0" collapsed="false">
      <c r="A31" s="5" t="s">
        <v>152</v>
      </c>
      <c r="B31" s="5" t="s">
        <v>34</v>
      </c>
      <c r="C31" s="5" t="s">
        <v>88</v>
      </c>
      <c r="D31" s="5" t="s">
        <v>88</v>
      </c>
      <c r="E31" s="5" t="s">
        <v>153</v>
      </c>
      <c r="F31" s="5" t="s">
        <v>154</v>
      </c>
      <c r="G31" s="5" t="s">
        <v>155</v>
      </c>
      <c r="H31" s="5" t="s">
        <v>48</v>
      </c>
      <c r="I31" s="5" t="s">
        <v>41</v>
      </c>
      <c r="J31" s="5"/>
      <c r="K31" s="6" t="n">
        <f aca="false">SUMPRODUCT((Parti!$A$2:$A$3000=A31)*Parti!$C$2:$C$3000*Parti!$D$2:$D$3000*Parti!$E$2:$E$3000)</f>
        <v>300</v>
      </c>
      <c r="L31" s="6" t="n">
        <f aca="false">ROUND((K31*Legenda!$H$2/100+SUMPRODUCT((Parti!$A$2:$A$3000=A31)*Parti!$C$2:$C$3000*Parti!$D$2:$D$3000*(Parti!$F$2:$F$3000+Parti!$J$2:$J$3000)))/60,0)</f>
        <v>7</v>
      </c>
      <c r="M31" s="5"/>
      <c r="N31" s="5" t="s">
        <v>42</v>
      </c>
      <c r="O31" s="5" t="s">
        <v>43</v>
      </c>
    </row>
    <row r="32" customFormat="false" ht="15" hidden="false" customHeight="false" outlineLevel="0" collapsed="false">
      <c r="A32" s="5" t="s">
        <v>156</v>
      </c>
      <c r="B32" s="5" t="s">
        <v>34</v>
      </c>
      <c r="C32" s="5" t="s">
        <v>88</v>
      </c>
      <c r="D32" s="5" t="s">
        <v>88</v>
      </c>
      <c r="E32" s="5" t="s">
        <v>153</v>
      </c>
      <c r="F32" s="5" t="s">
        <v>157</v>
      </c>
      <c r="G32" s="5" t="s">
        <v>158</v>
      </c>
      <c r="H32" s="5" t="s">
        <v>48</v>
      </c>
      <c r="I32" s="5" t="s">
        <v>67</v>
      </c>
      <c r="J32" s="5"/>
      <c r="K32" s="6" t="n">
        <f aca="false">SUMPRODUCT((Parti!$A$2:$A$3000=A32)*Parti!$C$2:$C$3000*Parti!$D$2:$D$3000*Parti!$E$2:$E$3000)</f>
        <v>150</v>
      </c>
      <c r="L32" s="6" t="n">
        <f aca="false">ROUND((K32*Legenda!$H$2/100+SUMPRODUCT((Parti!$A$2:$A$3000=A32)*Parti!$C$2:$C$3000*Parti!$D$2:$D$3000*(Parti!$F$2:$F$3000+Parti!$J$2:$J$3000)))/60,0)</f>
        <v>5</v>
      </c>
      <c r="M32" s="5"/>
      <c r="N32" s="5" t="s">
        <v>42</v>
      </c>
      <c r="O32" s="5" t="s">
        <v>43</v>
      </c>
    </row>
    <row r="33" customFormat="false" ht="15" hidden="false" customHeight="false" outlineLevel="0" collapsed="false">
      <c r="A33" s="5" t="s">
        <v>159</v>
      </c>
      <c r="B33" s="5" t="s">
        <v>34</v>
      </c>
      <c r="C33" s="5" t="s">
        <v>88</v>
      </c>
      <c r="D33" s="5" t="s">
        <v>88</v>
      </c>
      <c r="E33" s="5" t="s">
        <v>153</v>
      </c>
      <c r="F33" s="5" t="s">
        <v>160</v>
      </c>
      <c r="G33" s="5" t="s">
        <v>161</v>
      </c>
      <c r="H33" s="5" t="s">
        <v>48</v>
      </c>
      <c r="I33" s="5" t="s">
        <v>41</v>
      </c>
      <c r="J33" s="5"/>
      <c r="K33" s="6" t="n">
        <f aca="false">SUMPRODUCT((Parti!$A$2:$A$3000=A33)*Parti!$C$2:$C$3000*Parti!$D$2:$D$3000*Parti!$E$2:$E$3000)</f>
        <v>300</v>
      </c>
      <c r="L33" s="6" t="n">
        <f aca="false">ROUND((K33*Legenda!$H$2/100+SUMPRODUCT((Parti!$A$2:$A$3000=A33)*Parti!$C$2:$C$3000*Parti!$D$2:$D$3000*(Parti!$F$2:$F$3000+Parti!$J$2:$J$3000)))/60,0)</f>
        <v>7</v>
      </c>
      <c r="M33" s="5"/>
      <c r="N33" s="5" t="s">
        <v>42</v>
      </c>
      <c r="O33" s="5" t="s">
        <v>43</v>
      </c>
    </row>
    <row r="34" customFormat="false" ht="15" hidden="false" customHeight="false" outlineLevel="0" collapsed="false">
      <c r="A34" s="5" t="s">
        <v>162</v>
      </c>
      <c r="B34" s="5" t="s">
        <v>34</v>
      </c>
      <c r="C34" s="5" t="s">
        <v>88</v>
      </c>
      <c r="D34" s="5" t="s">
        <v>88</v>
      </c>
      <c r="E34" s="5" t="s">
        <v>153</v>
      </c>
      <c r="F34" s="5" t="s">
        <v>163</v>
      </c>
      <c r="G34" s="5" t="s">
        <v>164</v>
      </c>
      <c r="H34" s="5" t="s">
        <v>48</v>
      </c>
      <c r="I34" s="5" t="s">
        <v>67</v>
      </c>
      <c r="J34" s="5"/>
      <c r="K34" s="6" t="n">
        <f aca="false">SUMPRODUCT((Parti!$A$2:$A$3000=A34)*Parti!$C$2:$C$3000*Parti!$D$2:$D$3000*Parti!$E$2:$E$3000)</f>
        <v>150</v>
      </c>
      <c r="L34" s="6" t="n">
        <f aca="false">ROUND((K34*Legenda!$H$2/100+SUMPRODUCT((Parti!$A$2:$A$3000=A34)*Parti!$C$2:$C$3000*Parti!$D$2:$D$3000*(Parti!$F$2:$F$3000+Parti!$J$2:$J$3000)))/60,0)</f>
        <v>5</v>
      </c>
      <c r="M34" s="5"/>
      <c r="N34" s="5" t="s">
        <v>42</v>
      </c>
      <c r="O34" s="5" t="s">
        <v>43</v>
      </c>
    </row>
    <row r="35" customFormat="false" ht="15" hidden="false" customHeight="false" outlineLevel="0" collapsed="false">
      <c r="A35" s="5" t="s">
        <v>165</v>
      </c>
      <c r="B35" s="5" t="s">
        <v>69</v>
      </c>
      <c r="C35" s="5" t="s">
        <v>88</v>
      </c>
      <c r="D35" s="5" t="s">
        <v>88</v>
      </c>
      <c r="E35" s="5" t="s">
        <v>153</v>
      </c>
      <c r="F35" s="5" t="s">
        <v>166</v>
      </c>
      <c r="G35" s="5" t="s">
        <v>167</v>
      </c>
      <c r="H35" s="5" t="s">
        <v>48</v>
      </c>
      <c r="I35" s="5" t="s">
        <v>41</v>
      </c>
      <c r="J35" s="5" t="s">
        <v>83</v>
      </c>
      <c r="K35" s="6" t="n">
        <f aca="false">SUMPRODUCT((Parti!$A$2:$A$3000=A35)*Parti!$C$2:$C$3000*Parti!$D$2:$D$3000*Parti!$E$2:$E$3000)</f>
        <v>300</v>
      </c>
      <c r="L35" s="6" t="n">
        <f aca="false">ROUND((K35*Legenda!$H$2/100+SUMPRODUCT((Parti!$A$2:$A$3000=A35)*Parti!$C$2:$C$3000*Parti!$D$2:$D$3000*(Parti!$F$2:$F$3000+Parti!$J$2:$J$3000)))/60,0)</f>
        <v>7</v>
      </c>
      <c r="M35" s="5"/>
      <c r="N35" s="5" t="s">
        <v>42</v>
      </c>
      <c r="O35" s="5" t="s">
        <v>43</v>
      </c>
    </row>
    <row r="36" customFormat="false" ht="15" hidden="false" customHeight="false" outlineLevel="0" collapsed="false">
      <c r="A36" s="5" t="s">
        <v>168</v>
      </c>
      <c r="B36" s="5" t="s">
        <v>69</v>
      </c>
      <c r="C36" s="5" t="s">
        <v>88</v>
      </c>
      <c r="D36" s="5" t="s">
        <v>88</v>
      </c>
      <c r="E36" s="5" t="s">
        <v>153</v>
      </c>
      <c r="F36" s="5" t="s">
        <v>169</v>
      </c>
      <c r="G36" s="5" t="s">
        <v>170</v>
      </c>
      <c r="H36" s="5" t="s">
        <v>48</v>
      </c>
      <c r="I36" s="5" t="s">
        <v>67</v>
      </c>
      <c r="J36" s="5" t="s">
        <v>83</v>
      </c>
      <c r="K36" s="6" t="n">
        <f aca="false">SUMPRODUCT((Parti!$A$2:$A$3000=A36)*Parti!$C$2:$C$3000*Parti!$D$2:$D$3000*Parti!$E$2:$E$3000)</f>
        <v>150</v>
      </c>
      <c r="L36" s="6" t="n">
        <f aca="false">ROUND((K36*Legenda!$H$2/100+SUMPRODUCT((Parti!$A$2:$A$3000=A36)*Parti!$C$2:$C$3000*Parti!$D$2:$D$3000*(Parti!$F$2:$F$3000+Parti!$J$2:$J$3000)))/60,0)</f>
        <v>5</v>
      </c>
      <c r="M36" s="5"/>
      <c r="N36" s="5" t="s">
        <v>42</v>
      </c>
      <c r="O36" s="5" t="s">
        <v>43</v>
      </c>
    </row>
    <row r="37" customFormat="false" ht="15" hidden="false" customHeight="false" outlineLevel="0" collapsed="false">
      <c r="A37" s="5" t="s">
        <v>171</v>
      </c>
      <c r="B37" s="5" t="s">
        <v>69</v>
      </c>
      <c r="C37" s="5" t="s">
        <v>88</v>
      </c>
      <c r="D37" s="5" t="s">
        <v>88</v>
      </c>
      <c r="E37" s="5" t="s">
        <v>153</v>
      </c>
      <c r="F37" s="5" t="s">
        <v>172</v>
      </c>
      <c r="G37" s="5" t="s">
        <v>173</v>
      </c>
      <c r="H37" s="5" t="s">
        <v>48</v>
      </c>
      <c r="I37" s="5" t="s">
        <v>41</v>
      </c>
      <c r="J37" s="5"/>
      <c r="K37" s="6" t="n">
        <f aca="false">SUMPRODUCT((Parti!$A$2:$A$3000=A37)*Parti!$C$2:$C$3000*Parti!$D$2:$D$3000*Parti!$E$2:$E$3000)</f>
        <v>300</v>
      </c>
      <c r="L37" s="6" t="n">
        <f aca="false">ROUND((K37*Legenda!$H$2/100+SUMPRODUCT((Parti!$A$2:$A$3000=A37)*Parti!$C$2:$C$3000*Parti!$D$2:$D$3000*(Parti!$F$2:$F$3000+Parti!$J$2:$J$3000)))/60,0)</f>
        <v>7</v>
      </c>
      <c r="M37" s="5"/>
      <c r="N37" s="5" t="s">
        <v>42</v>
      </c>
      <c r="O37" s="5" t="s">
        <v>43</v>
      </c>
    </row>
    <row r="38" customFormat="false" ht="15" hidden="false" customHeight="false" outlineLevel="0" collapsed="false">
      <c r="A38" s="5" t="s">
        <v>174</v>
      </c>
      <c r="B38" s="5" t="s">
        <v>69</v>
      </c>
      <c r="C38" s="5" t="s">
        <v>88</v>
      </c>
      <c r="D38" s="5" t="s">
        <v>88</v>
      </c>
      <c r="E38" s="5" t="s">
        <v>153</v>
      </c>
      <c r="F38" s="5" t="s">
        <v>175</v>
      </c>
      <c r="G38" s="5" t="s">
        <v>176</v>
      </c>
      <c r="H38" s="5" t="s">
        <v>48</v>
      </c>
      <c r="I38" s="5" t="s">
        <v>67</v>
      </c>
      <c r="J38" s="5"/>
      <c r="K38" s="6" t="n">
        <f aca="false">SUMPRODUCT((Parti!$A$2:$A$3000=A38)*Parti!$C$2:$C$3000*Parti!$D$2:$D$3000*Parti!$E$2:$E$3000)</f>
        <v>150</v>
      </c>
      <c r="L38" s="6" t="n">
        <f aca="false">ROUND((K38*Legenda!$H$2/100+SUMPRODUCT((Parti!$A$2:$A$3000=A38)*Parti!$C$2:$C$3000*Parti!$D$2:$D$3000*(Parti!$F$2:$F$3000+Parti!$J$2:$J$3000)))/60,0)</f>
        <v>5</v>
      </c>
      <c r="M38" s="5"/>
      <c r="N38" s="5" t="s">
        <v>42</v>
      </c>
      <c r="O38" s="5" t="s">
        <v>43</v>
      </c>
    </row>
    <row r="39" customFormat="false" ht="15" hidden="false" customHeight="false" outlineLevel="0" collapsed="false">
      <c r="A39" s="5" t="s">
        <v>177</v>
      </c>
      <c r="B39" s="5" t="s">
        <v>69</v>
      </c>
      <c r="C39" s="5" t="s">
        <v>88</v>
      </c>
      <c r="D39" s="5" t="s">
        <v>88</v>
      </c>
      <c r="E39" s="5" t="s">
        <v>153</v>
      </c>
      <c r="F39" s="5" t="s">
        <v>178</v>
      </c>
      <c r="G39" s="5" t="s">
        <v>179</v>
      </c>
      <c r="H39" s="5" t="s">
        <v>48</v>
      </c>
      <c r="I39" s="5" t="s">
        <v>41</v>
      </c>
      <c r="J39" s="5"/>
      <c r="K39" s="6" t="n">
        <f aca="false">SUMPRODUCT((Parti!$A$2:$A$3000=A39)*Parti!$C$2:$C$3000*Parti!$D$2:$D$3000*Parti!$E$2:$E$3000)</f>
        <v>300</v>
      </c>
      <c r="L39" s="6" t="n">
        <f aca="false">ROUND((K39*Legenda!$H$2/100+SUMPRODUCT((Parti!$A$2:$A$3000=A39)*Parti!$C$2:$C$3000*Parti!$D$2:$D$3000*(Parti!$F$2:$F$3000+Parti!$J$2:$J$3000)))/60,0)</f>
        <v>7</v>
      </c>
      <c r="M39" s="5"/>
      <c r="N39" s="5" t="s">
        <v>42</v>
      </c>
      <c r="O39" s="5" t="s">
        <v>43</v>
      </c>
    </row>
    <row r="40" customFormat="false" ht="15" hidden="false" customHeight="false" outlineLevel="0" collapsed="false">
      <c r="A40" s="5" t="s">
        <v>180</v>
      </c>
      <c r="B40" s="5" t="s">
        <v>69</v>
      </c>
      <c r="C40" s="5" t="s">
        <v>88</v>
      </c>
      <c r="D40" s="5" t="s">
        <v>88</v>
      </c>
      <c r="E40" s="5" t="s">
        <v>153</v>
      </c>
      <c r="F40" s="5" t="s">
        <v>181</v>
      </c>
      <c r="G40" s="5" t="s">
        <v>182</v>
      </c>
      <c r="H40" s="5" t="s">
        <v>48</v>
      </c>
      <c r="I40" s="5" t="s">
        <v>67</v>
      </c>
      <c r="J40" s="5"/>
      <c r="K40" s="6" t="n">
        <f aca="false">SUMPRODUCT((Parti!$A$2:$A$3000=A40)*Parti!$C$2:$C$3000*Parti!$D$2:$D$3000*Parti!$E$2:$E$3000)</f>
        <v>150</v>
      </c>
      <c r="L40" s="6" t="n">
        <f aca="false">ROUND((K40*Legenda!$H$2/100+SUMPRODUCT((Parti!$A$2:$A$3000=A40)*Parti!$C$2:$C$3000*Parti!$D$2:$D$3000*(Parti!$F$2:$F$3000+Parti!$J$2:$J$3000)))/60,0)</f>
        <v>5</v>
      </c>
      <c r="M40" s="5"/>
      <c r="N40" s="5" t="s">
        <v>42</v>
      </c>
      <c r="O40" s="5" t="s">
        <v>43</v>
      </c>
    </row>
    <row r="41" customFormat="false" ht="15" hidden="false" customHeight="false" outlineLevel="0" collapsed="false">
      <c r="A41" s="5" t="s">
        <v>183</v>
      </c>
      <c r="B41" s="5" t="s">
        <v>69</v>
      </c>
      <c r="C41" s="5" t="s">
        <v>88</v>
      </c>
      <c r="D41" s="5" t="s">
        <v>88</v>
      </c>
      <c r="E41" s="5" t="s">
        <v>153</v>
      </c>
      <c r="F41" s="5" t="s">
        <v>184</v>
      </c>
      <c r="G41" s="5" t="s">
        <v>185</v>
      </c>
      <c r="H41" s="5" t="s">
        <v>48</v>
      </c>
      <c r="I41" s="5" t="s">
        <v>41</v>
      </c>
      <c r="J41" s="5"/>
      <c r="K41" s="6" t="n">
        <f aca="false">SUMPRODUCT((Parti!$A$2:$A$3000=A41)*Parti!$C$2:$C$3000*Parti!$D$2:$D$3000*Parti!$E$2:$E$3000)</f>
        <v>300</v>
      </c>
      <c r="L41" s="6" t="n">
        <f aca="false">ROUND((K41*Legenda!$H$2/100+SUMPRODUCT((Parti!$A$2:$A$3000=A41)*Parti!$C$2:$C$3000*Parti!$D$2:$D$3000*(Parti!$F$2:$F$3000+Parti!$J$2:$J$3000)))/60,0)</f>
        <v>7</v>
      </c>
      <c r="M41" s="5"/>
      <c r="N41" s="5" t="s">
        <v>42</v>
      </c>
      <c r="O41" s="5" t="s">
        <v>43</v>
      </c>
    </row>
    <row r="42" customFormat="false" ht="15" hidden="false" customHeight="false" outlineLevel="0" collapsed="false">
      <c r="A42" s="5" t="s">
        <v>186</v>
      </c>
      <c r="B42" s="5" t="s">
        <v>69</v>
      </c>
      <c r="C42" s="5" t="s">
        <v>88</v>
      </c>
      <c r="D42" s="5" t="s">
        <v>88</v>
      </c>
      <c r="E42" s="5" t="s">
        <v>153</v>
      </c>
      <c r="F42" s="5" t="s">
        <v>187</v>
      </c>
      <c r="G42" s="5" t="s">
        <v>188</v>
      </c>
      <c r="H42" s="5" t="s">
        <v>48</v>
      </c>
      <c r="I42" s="5" t="s">
        <v>67</v>
      </c>
      <c r="J42" s="5"/>
      <c r="K42" s="6" t="n">
        <f aca="false">SUMPRODUCT((Parti!$A$2:$A$3000=A42)*Parti!$C$2:$C$3000*Parti!$D$2:$D$3000*Parti!$E$2:$E$3000)</f>
        <v>150</v>
      </c>
      <c r="L42" s="6" t="n">
        <f aca="false">ROUND((K42*Legenda!$H$2/100+SUMPRODUCT((Parti!$A$2:$A$3000=A42)*Parti!$C$2:$C$3000*Parti!$D$2:$D$3000*(Parti!$F$2:$F$3000+Parti!$J$2:$J$3000)))/60,0)</f>
        <v>5</v>
      </c>
      <c r="M42" s="5"/>
      <c r="N42" s="5" t="s">
        <v>42</v>
      </c>
      <c r="O42" s="5" t="s">
        <v>43</v>
      </c>
    </row>
    <row r="43" customFormat="false" ht="15" hidden="false" customHeight="false" outlineLevel="0" collapsed="false">
      <c r="A43" s="5" t="s">
        <v>189</v>
      </c>
      <c r="B43" s="5" t="s">
        <v>34</v>
      </c>
      <c r="C43" s="5" t="s">
        <v>88</v>
      </c>
      <c r="D43" s="5" t="s">
        <v>88</v>
      </c>
      <c r="E43" s="5" t="s">
        <v>153</v>
      </c>
      <c r="F43" s="5" t="s">
        <v>190</v>
      </c>
      <c r="G43" s="5" t="s">
        <v>191</v>
      </c>
      <c r="H43" s="5" t="s">
        <v>48</v>
      </c>
      <c r="I43" s="5" t="s">
        <v>41</v>
      </c>
      <c r="J43" s="5"/>
      <c r="K43" s="6" t="n">
        <f aca="false">SUMPRODUCT((Parti!$A$2:$A$3000=A43)*Parti!$C$2:$C$3000*Parti!$D$2:$D$3000*Parti!$E$2:$E$3000)</f>
        <v>300</v>
      </c>
      <c r="L43" s="6" t="n">
        <f aca="false">ROUND((K43*Legenda!$H$2/100+SUMPRODUCT((Parti!$A$2:$A$3000=A43)*Parti!$C$2:$C$3000*Parti!$D$2:$D$3000*(Parti!$F$2:$F$3000+Parti!$J$2:$J$3000)))/60,0)</f>
        <v>7</v>
      </c>
      <c r="M43" s="5"/>
      <c r="N43" s="5" t="s">
        <v>42</v>
      </c>
      <c r="O43" s="5" t="s">
        <v>43</v>
      </c>
    </row>
    <row r="44" customFormat="false" ht="15" hidden="false" customHeight="false" outlineLevel="0" collapsed="false">
      <c r="A44" s="5" t="s">
        <v>192</v>
      </c>
      <c r="B44" s="5" t="s">
        <v>34</v>
      </c>
      <c r="C44" s="5" t="s">
        <v>88</v>
      </c>
      <c r="D44" s="5" t="s">
        <v>88</v>
      </c>
      <c r="E44" s="5" t="s">
        <v>153</v>
      </c>
      <c r="F44" s="5" t="s">
        <v>193</v>
      </c>
      <c r="G44" s="5" t="s">
        <v>194</v>
      </c>
      <c r="H44" s="5" t="s">
        <v>48</v>
      </c>
      <c r="I44" s="5" t="s">
        <v>67</v>
      </c>
      <c r="J44" s="5"/>
      <c r="K44" s="6" t="n">
        <f aca="false">SUMPRODUCT((Parti!$A$2:$A$3000=A44)*Parti!$C$2:$C$3000*Parti!$D$2:$D$3000*Parti!$E$2:$E$3000)</f>
        <v>150</v>
      </c>
      <c r="L44" s="6" t="n">
        <f aca="false">ROUND((K44*Legenda!$H$2/100+SUMPRODUCT((Parti!$A$2:$A$3000=A44)*Parti!$C$2:$C$3000*Parti!$D$2:$D$3000*(Parti!$F$2:$F$3000+Parti!$J$2:$J$3000)))/60,0)</f>
        <v>5</v>
      </c>
      <c r="M44" s="5"/>
      <c r="N44" s="5" t="s">
        <v>42</v>
      </c>
      <c r="O44" s="5" t="s">
        <v>43</v>
      </c>
    </row>
    <row r="45" customFormat="false" ht="15" hidden="false" customHeight="false" outlineLevel="0" collapsed="false">
      <c r="A45" s="5" t="s">
        <v>195</v>
      </c>
      <c r="B45" s="5" t="s">
        <v>69</v>
      </c>
      <c r="C45" s="5" t="s">
        <v>88</v>
      </c>
      <c r="D45" s="5" t="s">
        <v>88</v>
      </c>
      <c r="E45" s="5" t="s">
        <v>153</v>
      </c>
      <c r="F45" s="5" t="s">
        <v>196</v>
      </c>
      <c r="G45" s="5" t="s">
        <v>197</v>
      </c>
      <c r="H45" s="5" t="s">
        <v>48</v>
      </c>
      <c r="I45" s="5" t="s">
        <v>41</v>
      </c>
      <c r="J45" s="5"/>
      <c r="K45" s="6" t="n">
        <f aca="false">SUMPRODUCT((Parti!$A$2:$A$3000=A45)*Parti!$C$2:$C$3000*Parti!$D$2:$D$3000*Parti!$E$2:$E$3000)</f>
        <v>300</v>
      </c>
      <c r="L45" s="6" t="n">
        <f aca="false">ROUND((K45*Legenda!$H$2/100+SUMPRODUCT((Parti!$A$2:$A$3000=A45)*Parti!$C$2:$C$3000*Parti!$D$2:$D$3000*(Parti!$F$2:$F$3000+Parti!$J$2:$J$3000)))/60,0)</f>
        <v>7</v>
      </c>
      <c r="M45" s="5"/>
      <c r="N45" s="5" t="s">
        <v>42</v>
      </c>
      <c r="O45" s="5" t="s">
        <v>43</v>
      </c>
    </row>
    <row r="46" customFormat="false" ht="15" hidden="false" customHeight="false" outlineLevel="0" collapsed="false">
      <c r="A46" s="5" t="s">
        <v>198</v>
      </c>
      <c r="B46" s="5" t="s">
        <v>69</v>
      </c>
      <c r="C46" s="5" t="s">
        <v>88</v>
      </c>
      <c r="D46" s="5" t="s">
        <v>88</v>
      </c>
      <c r="E46" s="5" t="s">
        <v>153</v>
      </c>
      <c r="F46" s="5" t="s">
        <v>199</v>
      </c>
      <c r="G46" s="5" t="s">
        <v>200</v>
      </c>
      <c r="H46" s="5" t="s">
        <v>48</v>
      </c>
      <c r="I46" s="5" t="s">
        <v>67</v>
      </c>
      <c r="J46" s="5"/>
      <c r="K46" s="6" t="n">
        <f aca="false">SUMPRODUCT((Parti!$A$2:$A$3000=A46)*Parti!$C$2:$C$3000*Parti!$D$2:$D$3000*Parti!$E$2:$E$3000)</f>
        <v>150</v>
      </c>
      <c r="L46" s="6" t="n">
        <f aca="false">ROUND((K46*Legenda!$H$2/100+SUMPRODUCT((Parti!$A$2:$A$3000=A46)*Parti!$C$2:$C$3000*Parti!$D$2:$D$3000*(Parti!$F$2:$F$3000+Parti!$J$2:$J$3000)))/60,0)</f>
        <v>5</v>
      </c>
      <c r="M46" s="5"/>
      <c r="N46" s="5" t="s">
        <v>42</v>
      </c>
      <c r="O46" s="5" t="s">
        <v>43</v>
      </c>
    </row>
    <row r="47" customFormat="false" ht="15" hidden="false" customHeight="false" outlineLevel="0" collapsed="false">
      <c r="A47" s="5" t="s">
        <v>201</v>
      </c>
      <c r="B47" s="5" t="s">
        <v>69</v>
      </c>
      <c r="C47" s="5" t="s">
        <v>88</v>
      </c>
      <c r="D47" s="5" t="s">
        <v>88</v>
      </c>
      <c r="E47" s="5" t="s">
        <v>153</v>
      </c>
      <c r="F47" s="5" t="s">
        <v>202</v>
      </c>
      <c r="G47" s="5" t="s">
        <v>203</v>
      </c>
      <c r="H47" s="5" t="s">
        <v>115</v>
      </c>
      <c r="I47" s="5" t="s">
        <v>41</v>
      </c>
      <c r="J47" s="5"/>
      <c r="K47" s="6" t="n">
        <f aca="false">SUMPRODUCT((Parti!$A$2:$A$3000=A47)*Parti!$C$2:$C$3000*Parti!$D$2:$D$3000*Parti!$E$2:$E$3000)</f>
        <v>300</v>
      </c>
      <c r="L47" s="6" t="n">
        <f aca="false">ROUND((K47*Legenda!$H$2/100+SUMPRODUCT((Parti!$A$2:$A$3000=A47)*Parti!$C$2:$C$3000*Parti!$D$2:$D$3000*(Parti!$F$2:$F$3000+Parti!$J$2:$J$3000)))/60,0)</f>
        <v>7</v>
      </c>
      <c r="M47" s="5"/>
      <c r="N47" s="5" t="s">
        <v>42</v>
      </c>
      <c r="O47" s="5" t="s">
        <v>43</v>
      </c>
    </row>
    <row r="48" customFormat="false" ht="15" hidden="false" customHeight="false" outlineLevel="0" collapsed="false">
      <c r="A48" s="5" t="s">
        <v>204</v>
      </c>
      <c r="B48" s="5" t="s">
        <v>69</v>
      </c>
      <c r="C48" s="5" t="s">
        <v>88</v>
      </c>
      <c r="D48" s="5" t="s">
        <v>88</v>
      </c>
      <c r="E48" s="5" t="s">
        <v>153</v>
      </c>
      <c r="F48" s="5" t="s">
        <v>205</v>
      </c>
      <c r="G48" s="5" t="s">
        <v>206</v>
      </c>
      <c r="H48" s="5" t="s">
        <v>115</v>
      </c>
      <c r="I48" s="5" t="s">
        <v>67</v>
      </c>
      <c r="J48" s="5"/>
      <c r="K48" s="6" t="n">
        <f aca="false">SUMPRODUCT((Parti!$A$2:$A$3000=A48)*Parti!$C$2:$C$3000*Parti!$D$2:$D$3000*Parti!$E$2:$E$3000)</f>
        <v>150</v>
      </c>
      <c r="L48" s="6" t="n">
        <f aca="false">ROUND((K48*Legenda!$H$2/100+SUMPRODUCT((Parti!$A$2:$A$3000=A48)*Parti!$C$2:$C$3000*Parti!$D$2:$D$3000*(Parti!$F$2:$F$3000+Parti!$J$2:$J$3000)))/60,0)</f>
        <v>5</v>
      </c>
      <c r="M48" s="5"/>
      <c r="N48" s="5" t="s">
        <v>42</v>
      </c>
      <c r="O48" s="5" t="s">
        <v>43</v>
      </c>
    </row>
    <row r="49" customFormat="false" ht="15" hidden="false" customHeight="false" outlineLevel="0" collapsed="false">
      <c r="A49" s="5" t="s">
        <v>207</v>
      </c>
      <c r="B49" s="5" t="s">
        <v>69</v>
      </c>
      <c r="C49" s="5" t="s">
        <v>88</v>
      </c>
      <c r="D49" s="5" t="s">
        <v>88</v>
      </c>
      <c r="E49" s="5" t="s">
        <v>153</v>
      </c>
      <c r="F49" s="5" t="s">
        <v>208</v>
      </c>
      <c r="G49" s="5" t="s">
        <v>209</v>
      </c>
      <c r="H49" s="5" t="s">
        <v>115</v>
      </c>
      <c r="I49" s="5" t="s">
        <v>41</v>
      </c>
      <c r="J49" s="5"/>
      <c r="K49" s="6" t="n">
        <f aca="false">SUMPRODUCT((Parti!$A$2:$A$3000=A49)*Parti!$C$2:$C$3000*Parti!$D$2:$D$3000*Parti!$E$2:$E$3000)</f>
        <v>300</v>
      </c>
      <c r="L49" s="6" t="n">
        <f aca="false">ROUND((K49*Legenda!$H$2/100+SUMPRODUCT((Parti!$A$2:$A$3000=A49)*Parti!$C$2:$C$3000*Parti!$D$2:$D$3000*(Parti!$F$2:$F$3000+Parti!$J$2:$J$3000)))/60,0)</f>
        <v>7</v>
      </c>
      <c r="M49" s="5"/>
      <c r="N49" s="5" t="s">
        <v>42</v>
      </c>
      <c r="O49" s="5" t="s">
        <v>43</v>
      </c>
    </row>
    <row r="50" customFormat="false" ht="15" hidden="false" customHeight="false" outlineLevel="0" collapsed="false">
      <c r="A50" s="5" t="s">
        <v>210</v>
      </c>
      <c r="B50" s="5" t="s">
        <v>69</v>
      </c>
      <c r="C50" s="5" t="s">
        <v>88</v>
      </c>
      <c r="D50" s="5" t="s">
        <v>88</v>
      </c>
      <c r="E50" s="5" t="s">
        <v>153</v>
      </c>
      <c r="F50" s="5" t="s">
        <v>211</v>
      </c>
      <c r="G50" s="5" t="s">
        <v>212</v>
      </c>
      <c r="H50" s="5" t="s">
        <v>115</v>
      </c>
      <c r="I50" s="5" t="s">
        <v>67</v>
      </c>
      <c r="J50" s="5"/>
      <c r="K50" s="6" t="n">
        <f aca="false">SUMPRODUCT((Parti!$A$2:$A$3000=A50)*Parti!$C$2:$C$3000*Parti!$D$2:$D$3000*Parti!$E$2:$E$3000)</f>
        <v>150</v>
      </c>
      <c r="L50" s="6" t="n">
        <f aca="false">ROUND((K50*Legenda!$H$2/100+SUMPRODUCT((Parti!$A$2:$A$3000=A50)*Parti!$C$2:$C$3000*Parti!$D$2:$D$3000*(Parti!$F$2:$F$3000+Parti!$J$2:$J$3000)))/60,0)</f>
        <v>5</v>
      </c>
      <c r="M50" s="5"/>
      <c r="N50" s="5" t="s">
        <v>42</v>
      </c>
      <c r="O50" s="5" t="s">
        <v>43</v>
      </c>
    </row>
    <row r="51" customFormat="false" ht="15" hidden="false" customHeight="false" outlineLevel="0" collapsed="false">
      <c r="A51" s="5" t="s">
        <v>213</v>
      </c>
      <c r="B51" s="5" t="s">
        <v>69</v>
      </c>
      <c r="C51" s="5" t="s">
        <v>88</v>
      </c>
      <c r="D51" s="5" t="s">
        <v>88</v>
      </c>
      <c r="E51" s="5" t="s">
        <v>153</v>
      </c>
      <c r="F51" s="5" t="s">
        <v>214</v>
      </c>
      <c r="G51" s="5" t="s">
        <v>215</v>
      </c>
      <c r="H51" s="5" t="s">
        <v>115</v>
      </c>
      <c r="I51" s="5" t="s">
        <v>41</v>
      </c>
      <c r="J51" s="5"/>
      <c r="K51" s="6" t="n">
        <f aca="false">SUMPRODUCT((Parti!$A$2:$A$3000=A51)*Parti!$C$2:$C$3000*Parti!$D$2:$D$3000*Parti!$E$2:$E$3000)</f>
        <v>300</v>
      </c>
      <c r="L51" s="6" t="n">
        <f aca="false">ROUND((K51*Legenda!$H$2/100+SUMPRODUCT((Parti!$A$2:$A$3000=A51)*Parti!$C$2:$C$3000*Parti!$D$2:$D$3000*(Parti!$F$2:$F$3000+Parti!$J$2:$J$3000)))/60,0)</f>
        <v>7</v>
      </c>
      <c r="M51" s="5"/>
      <c r="N51" s="5" t="s">
        <v>42</v>
      </c>
      <c r="O51" s="5" t="s">
        <v>43</v>
      </c>
    </row>
    <row r="52" customFormat="false" ht="15" hidden="false" customHeight="false" outlineLevel="0" collapsed="false">
      <c r="A52" s="5" t="s">
        <v>216</v>
      </c>
      <c r="B52" s="5" t="s">
        <v>69</v>
      </c>
      <c r="C52" s="5" t="s">
        <v>88</v>
      </c>
      <c r="D52" s="5" t="s">
        <v>88</v>
      </c>
      <c r="E52" s="5" t="s">
        <v>153</v>
      </c>
      <c r="F52" s="5" t="s">
        <v>217</v>
      </c>
      <c r="G52" s="5" t="s">
        <v>218</v>
      </c>
      <c r="H52" s="5" t="s">
        <v>115</v>
      </c>
      <c r="I52" s="5" t="s">
        <v>67</v>
      </c>
      <c r="J52" s="5"/>
      <c r="K52" s="6" t="n">
        <f aca="false">SUMPRODUCT((Parti!$A$2:$A$3000=A52)*Parti!$C$2:$C$3000*Parti!$D$2:$D$3000*Parti!$E$2:$E$3000)</f>
        <v>150</v>
      </c>
      <c r="L52" s="6" t="n">
        <f aca="false">ROUND((K52*Legenda!$H$2/100+SUMPRODUCT((Parti!$A$2:$A$3000=A52)*Parti!$C$2:$C$3000*Parti!$D$2:$D$3000*(Parti!$F$2:$F$3000+Parti!$J$2:$J$3000)))/60,0)</f>
        <v>5</v>
      </c>
      <c r="M52" s="5"/>
      <c r="N52" s="5" t="s">
        <v>42</v>
      </c>
      <c r="O52" s="5" t="s">
        <v>43</v>
      </c>
    </row>
    <row r="53" customFormat="false" ht="15" hidden="false" customHeight="false" outlineLevel="0" collapsed="false">
      <c r="A53" s="5" t="s">
        <v>219</v>
      </c>
      <c r="B53" s="5" t="s">
        <v>69</v>
      </c>
      <c r="C53" s="5" t="s">
        <v>88</v>
      </c>
      <c r="D53" s="5" t="s">
        <v>88</v>
      </c>
      <c r="E53" s="5" t="s">
        <v>153</v>
      </c>
      <c r="F53" s="5" t="s">
        <v>220</v>
      </c>
      <c r="G53" s="5" t="s">
        <v>221</v>
      </c>
      <c r="H53" s="5" t="s">
        <v>115</v>
      </c>
      <c r="I53" s="5" t="s">
        <v>41</v>
      </c>
      <c r="J53" s="5"/>
      <c r="K53" s="6" t="n">
        <f aca="false">SUMPRODUCT((Parti!$A$2:$A$3000=A53)*Parti!$C$2:$C$3000*Parti!$D$2:$D$3000*Parti!$E$2:$E$3000)</f>
        <v>300</v>
      </c>
      <c r="L53" s="6" t="n">
        <f aca="false">ROUND((K53*Legenda!$H$2/100+SUMPRODUCT((Parti!$A$2:$A$3000=A53)*Parti!$C$2:$C$3000*Parti!$D$2:$D$3000*(Parti!$F$2:$F$3000+Parti!$J$2:$J$3000)))/60,0)</f>
        <v>7</v>
      </c>
      <c r="M53" s="5"/>
      <c r="N53" s="5" t="s">
        <v>42</v>
      </c>
      <c r="O53" s="5" t="s">
        <v>43</v>
      </c>
    </row>
    <row r="54" customFormat="false" ht="15" hidden="false" customHeight="false" outlineLevel="0" collapsed="false">
      <c r="A54" s="5" t="s">
        <v>222</v>
      </c>
      <c r="B54" s="5" t="s">
        <v>69</v>
      </c>
      <c r="C54" s="5" t="s">
        <v>88</v>
      </c>
      <c r="D54" s="5" t="s">
        <v>88</v>
      </c>
      <c r="E54" s="5" t="s">
        <v>153</v>
      </c>
      <c r="F54" s="5" t="s">
        <v>223</v>
      </c>
      <c r="G54" s="5" t="s">
        <v>224</v>
      </c>
      <c r="H54" s="5" t="s">
        <v>115</v>
      </c>
      <c r="I54" s="5" t="s">
        <v>67</v>
      </c>
      <c r="J54" s="5"/>
      <c r="K54" s="6" t="n">
        <f aca="false">SUMPRODUCT((Parti!$A$2:$A$3000=A54)*Parti!$C$2:$C$3000*Parti!$D$2:$D$3000*Parti!$E$2:$E$3000)</f>
        <v>150</v>
      </c>
      <c r="L54" s="6" t="n">
        <f aca="false">ROUND((K54*Legenda!$H$2/100+SUMPRODUCT((Parti!$A$2:$A$3000=A54)*Parti!$C$2:$C$3000*Parti!$D$2:$D$3000*(Parti!$F$2:$F$3000+Parti!$J$2:$J$3000)))/60,0)</f>
        <v>5</v>
      </c>
      <c r="M54" s="5"/>
      <c r="N54" s="5" t="s">
        <v>42</v>
      </c>
      <c r="O54" s="5" t="s">
        <v>43</v>
      </c>
    </row>
    <row r="55" customFormat="false" ht="15" hidden="false" customHeight="false" outlineLevel="0" collapsed="false">
      <c r="A55" s="5" t="s">
        <v>225</v>
      </c>
      <c r="B55" s="5" t="s">
        <v>69</v>
      </c>
      <c r="C55" s="5" t="s">
        <v>88</v>
      </c>
      <c r="D55" s="5" t="s">
        <v>88</v>
      </c>
      <c r="E55" s="5" t="s">
        <v>153</v>
      </c>
      <c r="F55" s="5" t="s">
        <v>226</v>
      </c>
      <c r="G55" s="5" t="s">
        <v>227</v>
      </c>
      <c r="H55" s="5" t="s">
        <v>115</v>
      </c>
      <c r="I55" s="5" t="s">
        <v>41</v>
      </c>
      <c r="J55" s="5"/>
      <c r="K55" s="6" t="n">
        <f aca="false">SUMPRODUCT((Parti!$A$2:$A$3000=A55)*Parti!$C$2:$C$3000*Parti!$D$2:$D$3000*Parti!$E$2:$E$3000)</f>
        <v>300</v>
      </c>
      <c r="L55" s="6" t="n">
        <f aca="false">ROUND((K55*Legenda!$H$2/100+SUMPRODUCT((Parti!$A$2:$A$3000=A55)*Parti!$C$2:$C$3000*Parti!$D$2:$D$3000*(Parti!$F$2:$F$3000+Parti!$J$2:$J$3000)))/60,0)</f>
        <v>7</v>
      </c>
      <c r="M55" s="5"/>
      <c r="N55" s="5" t="s">
        <v>42</v>
      </c>
      <c r="O55" s="5" t="s">
        <v>43</v>
      </c>
    </row>
    <row r="56" customFormat="false" ht="15" hidden="false" customHeight="false" outlineLevel="0" collapsed="false">
      <c r="A56" s="5" t="s">
        <v>228</v>
      </c>
      <c r="B56" s="5" t="s">
        <v>69</v>
      </c>
      <c r="C56" s="5" t="s">
        <v>88</v>
      </c>
      <c r="D56" s="5" t="s">
        <v>88</v>
      </c>
      <c r="E56" s="5" t="s">
        <v>153</v>
      </c>
      <c r="F56" s="5" t="s">
        <v>229</v>
      </c>
      <c r="G56" s="5" t="s">
        <v>230</v>
      </c>
      <c r="H56" s="5" t="s">
        <v>115</v>
      </c>
      <c r="I56" s="5" t="s">
        <v>67</v>
      </c>
      <c r="J56" s="5"/>
      <c r="K56" s="6" t="n">
        <f aca="false">SUMPRODUCT((Parti!$A$2:$A$3000=A56)*Parti!$C$2:$C$3000*Parti!$D$2:$D$3000*Parti!$E$2:$E$3000)</f>
        <v>150</v>
      </c>
      <c r="L56" s="6" t="n">
        <f aca="false">ROUND((K56*Legenda!$H$2/100+SUMPRODUCT((Parti!$A$2:$A$3000=A56)*Parti!$C$2:$C$3000*Parti!$D$2:$D$3000*(Parti!$F$2:$F$3000+Parti!$J$2:$J$3000)))/60,0)</f>
        <v>5</v>
      </c>
      <c r="M56" s="5"/>
      <c r="N56" s="5" t="s">
        <v>42</v>
      </c>
      <c r="O56" s="5" t="s">
        <v>43</v>
      </c>
    </row>
    <row r="57" customFormat="false" ht="15" hidden="false" customHeight="false" outlineLevel="0" collapsed="false">
      <c r="A57" s="5" t="s">
        <v>231</v>
      </c>
      <c r="B57" s="5" t="s">
        <v>69</v>
      </c>
      <c r="C57" s="5" t="s">
        <v>88</v>
      </c>
      <c r="D57" s="5" t="s">
        <v>88</v>
      </c>
      <c r="E57" s="5" t="s">
        <v>153</v>
      </c>
      <c r="F57" s="5" t="s">
        <v>232</v>
      </c>
      <c r="G57" s="5" t="s">
        <v>233</v>
      </c>
      <c r="H57" s="5" t="s">
        <v>115</v>
      </c>
      <c r="I57" s="5" t="s">
        <v>41</v>
      </c>
      <c r="J57" s="5"/>
      <c r="K57" s="6" t="n">
        <f aca="false">SUMPRODUCT((Parti!$A$2:$A$3000=A57)*Parti!$C$2:$C$3000*Parti!$D$2:$D$3000*Parti!$E$2:$E$3000)</f>
        <v>300</v>
      </c>
      <c r="L57" s="6" t="n">
        <f aca="false">ROUND((K57*Legenda!$H$2/100+SUMPRODUCT((Parti!$A$2:$A$3000=A57)*Parti!$C$2:$C$3000*Parti!$D$2:$D$3000*(Parti!$F$2:$F$3000+Parti!$J$2:$J$3000)))/60,0)</f>
        <v>7</v>
      </c>
      <c r="M57" s="5"/>
      <c r="N57" s="5" t="s">
        <v>42</v>
      </c>
      <c r="O57" s="5" t="s">
        <v>43</v>
      </c>
    </row>
    <row r="58" customFormat="false" ht="15" hidden="false" customHeight="false" outlineLevel="0" collapsed="false">
      <c r="A58" s="5" t="s">
        <v>234</v>
      </c>
      <c r="B58" s="5" t="s">
        <v>69</v>
      </c>
      <c r="C58" s="5" t="s">
        <v>88</v>
      </c>
      <c r="D58" s="5" t="s">
        <v>88</v>
      </c>
      <c r="E58" s="5" t="s">
        <v>153</v>
      </c>
      <c r="F58" s="5" t="s">
        <v>235</v>
      </c>
      <c r="G58" s="5" t="s">
        <v>236</v>
      </c>
      <c r="H58" s="5" t="s">
        <v>115</v>
      </c>
      <c r="I58" s="5" t="s">
        <v>67</v>
      </c>
      <c r="J58" s="5"/>
      <c r="K58" s="6" t="n">
        <f aca="false">SUMPRODUCT((Parti!$A$2:$A$3000=A58)*Parti!$C$2:$C$3000*Parti!$D$2:$D$3000*Parti!$E$2:$E$3000)</f>
        <v>150</v>
      </c>
      <c r="L58" s="6" t="n">
        <f aca="false">ROUND((K58*Legenda!$H$2/100+SUMPRODUCT((Parti!$A$2:$A$3000=A58)*Parti!$C$2:$C$3000*Parti!$D$2:$D$3000*(Parti!$F$2:$F$3000+Parti!$J$2:$J$3000)))/60,0)</f>
        <v>5</v>
      </c>
      <c r="M58" s="5"/>
      <c r="N58" s="5" t="s">
        <v>42</v>
      </c>
      <c r="O58" s="5" t="s">
        <v>43</v>
      </c>
    </row>
    <row r="59" customFormat="false" ht="15" hidden="false" customHeight="false" outlineLevel="0" collapsed="false">
      <c r="A59" s="5" t="s">
        <v>237</v>
      </c>
      <c r="B59" s="5" t="s">
        <v>69</v>
      </c>
      <c r="C59" s="5" t="s">
        <v>88</v>
      </c>
      <c r="D59" s="5" t="s">
        <v>88</v>
      </c>
      <c r="E59" s="5" t="s">
        <v>153</v>
      </c>
      <c r="F59" s="5" t="s">
        <v>238</v>
      </c>
      <c r="G59" s="5" t="s">
        <v>239</v>
      </c>
      <c r="H59" s="5" t="s">
        <v>119</v>
      </c>
      <c r="I59" s="5" t="s">
        <v>41</v>
      </c>
      <c r="J59" s="5"/>
      <c r="K59" s="6" t="n">
        <f aca="false">SUMPRODUCT((Parti!$A$2:$A$3000=A59)*Parti!$C$2:$C$3000*Parti!$D$2:$D$3000*Parti!$E$2:$E$3000)</f>
        <v>300</v>
      </c>
      <c r="L59" s="6" t="n">
        <f aca="false">ROUND((K59*Legenda!$H$2/100+SUMPRODUCT((Parti!$A$2:$A$3000=A59)*Parti!$C$2:$C$3000*Parti!$D$2:$D$3000*(Parti!$F$2:$F$3000+Parti!$J$2:$J$3000)))/60,0)</f>
        <v>7</v>
      </c>
      <c r="M59" s="5"/>
      <c r="N59" s="5" t="s">
        <v>42</v>
      </c>
      <c r="O59" s="5" t="s">
        <v>43</v>
      </c>
    </row>
    <row r="60" customFormat="false" ht="15" hidden="false" customHeight="false" outlineLevel="0" collapsed="false">
      <c r="A60" s="5" t="s">
        <v>240</v>
      </c>
      <c r="B60" s="5" t="s">
        <v>69</v>
      </c>
      <c r="C60" s="5" t="s">
        <v>88</v>
      </c>
      <c r="D60" s="5" t="s">
        <v>88</v>
      </c>
      <c r="E60" s="5" t="s">
        <v>153</v>
      </c>
      <c r="F60" s="5" t="s">
        <v>241</v>
      </c>
      <c r="G60" s="5" t="s">
        <v>242</v>
      </c>
      <c r="H60" s="5" t="s">
        <v>119</v>
      </c>
      <c r="I60" s="5" t="s">
        <v>67</v>
      </c>
      <c r="J60" s="5"/>
      <c r="K60" s="6" t="n">
        <f aca="false">SUMPRODUCT((Parti!$A$2:$A$3000=A60)*Parti!$C$2:$C$3000*Parti!$D$2:$D$3000*Parti!$E$2:$E$3000)</f>
        <v>150</v>
      </c>
      <c r="L60" s="6" t="n">
        <f aca="false">ROUND((K60*Legenda!$H$2/100+SUMPRODUCT((Parti!$A$2:$A$3000=A60)*Parti!$C$2:$C$3000*Parti!$D$2:$D$3000*(Parti!$F$2:$F$3000+Parti!$J$2:$J$3000)))/60,0)</f>
        <v>5</v>
      </c>
      <c r="M60" s="5"/>
      <c r="N60" s="5" t="s">
        <v>42</v>
      </c>
      <c r="O60" s="5" t="s">
        <v>43</v>
      </c>
    </row>
    <row r="61" customFormat="false" ht="15" hidden="false" customHeight="false" outlineLevel="0" collapsed="false">
      <c r="A61" s="5" t="s">
        <v>243</v>
      </c>
      <c r="B61" s="5" t="s">
        <v>69</v>
      </c>
      <c r="C61" s="5" t="s">
        <v>88</v>
      </c>
      <c r="D61" s="5" t="s">
        <v>88</v>
      </c>
      <c r="E61" s="5" t="s">
        <v>153</v>
      </c>
      <c r="F61" s="5" t="s">
        <v>244</v>
      </c>
      <c r="G61" s="5" t="s">
        <v>245</v>
      </c>
      <c r="H61" s="5" t="s">
        <v>119</v>
      </c>
      <c r="I61" s="5" t="s">
        <v>41</v>
      </c>
      <c r="J61" s="5"/>
      <c r="K61" s="6" t="n">
        <f aca="false">SUMPRODUCT((Parti!$A$2:$A$3000=A61)*Parti!$C$2:$C$3000*Parti!$D$2:$D$3000*Parti!$E$2:$E$3000)</f>
        <v>300</v>
      </c>
      <c r="L61" s="6" t="n">
        <f aca="false">ROUND((K61*Legenda!$H$2/100+SUMPRODUCT((Parti!$A$2:$A$3000=A61)*Parti!$C$2:$C$3000*Parti!$D$2:$D$3000*(Parti!$F$2:$F$3000+Parti!$J$2:$J$3000)))/60,0)</f>
        <v>7</v>
      </c>
      <c r="M61" s="5"/>
      <c r="N61" s="5" t="s">
        <v>42</v>
      </c>
      <c r="O61" s="5" t="s">
        <v>43</v>
      </c>
    </row>
    <row r="62" customFormat="false" ht="15" hidden="false" customHeight="false" outlineLevel="0" collapsed="false">
      <c r="A62" s="5" t="s">
        <v>246</v>
      </c>
      <c r="B62" s="5" t="s">
        <v>69</v>
      </c>
      <c r="C62" s="5" t="s">
        <v>88</v>
      </c>
      <c r="D62" s="5" t="s">
        <v>88</v>
      </c>
      <c r="E62" s="5" t="s">
        <v>153</v>
      </c>
      <c r="F62" s="5" t="s">
        <v>247</v>
      </c>
      <c r="G62" s="5" t="s">
        <v>248</v>
      </c>
      <c r="H62" s="5" t="s">
        <v>119</v>
      </c>
      <c r="I62" s="5" t="s">
        <v>67</v>
      </c>
      <c r="J62" s="5"/>
      <c r="K62" s="6" t="n">
        <f aca="false">SUMPRODUCT((Parti!$A$2:$A$3000=A62)*Parti!$C$2:$C$3000*Parti!$D$2:$D$3000*Parti!$E$2:$E$3000)</f>
        <v>150</v>
      </c>
      <c r="L62" s="6" t="n">
        <f aca="false">ROUND((K62*Legenda!$H$2/100+SUMPRODUCT((Parti!$A$2:$A$3000=A62)*Parti!$C$2:$C$3000*Parti!$D$2:$D$3000*(Parti!$F$2:$F$3000+Parti!$J$2:$J$3000)))/60,0)</f>
        <v>5</v>
      </c>
      <c r="M62" s="5"/>
      <c r="N62" s="5" t="s">
        <v>42</v>
      </c>
      <c r="O62" s="5" t="s">
        <v>43</v>
      </c>
    </row>
    <row r="63" customFormat="false" ht="15" hidden="false" customHeight="false" outlineLevel="0" collapsed="false">
      <c r="A63" s="5" t="s">
        <v>249</v>
      </c>
      <c r="B63" s="5" t="s">
        <v>69</v>
      </c>
      <c r="C63" s="5" t="s">
        <v>88</v>
      </c>
      <c r="D63" s="5" t="s">
        <v>88</v>
      </c>
      <c r="E63" s="5" t="s">
        <v>153</v>
      </c>
      <c r="F63" s="5" t="s">
        <v>250</v>
      </c>
      <c r="G63" s="5" t="s">
        <v>251</v>
      </c>
      <c r="H63" s="5" t="s">
        <v>119</v>
      </c>
      <c r="I63" s="5" t="s">
        <v>41</v>
      </c>
      <c r="J63" s="5"/>
      <c r="K63" s="6" t="n">
        <f aca="false">SUMPRODUCT((Parti!$A$2:$A$3000=A63)*Parti!$C$2:$C$3000*Parti!$D$2:$D$3000*Parti!$E$2:$E$3000)</f>
        <v>300</v>
      </c>
      <c r="L63" s="6" t="n">
        <f aca="false">ROUND((K63*Legenda!$H$2/100+SUMPRODUCT((Parti!$A$2:$A$3000=A63)*Parti!$C$2:$C$3000*Parti!$D$2:$D$3000*(Parti!$F$2:$F$3000+Parti!$J$2:$J$3000)))/60,0)</f>
        <v>7</v>
      </c>
      <c r="M63" s="5"/>
      <c r="N63" s="5" t="s">
        <v>42</v>
      </c>
      <c r="O63" s="5" t="s">
        <v>43</v>
      </c>
    </row>
    <row r="64" customFormat="false" ht="15" hidden="false" customHeight="false" outlineLevel="0" collapsed="false">
      <c r="A64" s="5" t="s">
        <v>252</v>
      </c>
      <c r="B64" s="5" t="s">
        <v>69</v>
      </c>
      <c r="C64" s="5" t="s">
        <v>88</v>
      </c>
      <c r="D64" s="5" t="s">
        <v>88</v>
      </c>
      <c r="E64" s="5" t="s">
        <v>153</v>
      </c>
      <c r="F64" s="5" t="s">
        <v>253</v>
      </c>
      <c r="G64" s="5" t="s">
        <v>254</v>
      </c>
      <c r="H64" s="5" t="s">
        <v>119</v>
      </c>
      <c r="I64" s="5" t="s">
        <v>67</v>
      </c>
      <c r="J64" s="5"/>
      <c r="K64" s="6" t="n">
        <f aca="false">SUMPRODUCT((Parti!$A$2:$A$3000=A64)*Parti!$C$2:$C$3000*Parti!$D$2:$D$3000*Parti!$E$2:$E$3000)</f>
        <v>150</v>
      </c>
      <c r="L64" s="6" t="n">
        <f aca="false">ROUND((K64*Legenda!$H$2/100+SUMPRODUCT((Parti!$A$2:$A$3000=A64)*Parti!$C$2:$C$3000*Parti!$D$2:$D$3000*(Parti!$F$2:$F$3000+Parti!$J$2:$J$3000)))/60,0)</f>
        <v>5</v>
      </c>
      <c r="M64" s="5"/>
      <c r="N64" s="5" t="s">
        <v>42</v>
      </c>
      <c r="O64" s="5" t="s">
        <v>43</v>
      </c>
    </row>
    <row r="65" customFormat="false" ht="15" hidden="false" customHeight="false" outlineLevel="0" collapsed="false">
      <c r="A65" s="5" t="s">
        <v>255</v>
      </c>
      <c r="B65" s="5" t="s">
        <v>69</v>
      </c>
      <c r="C65" s="5" t="s">
        <v>88</v>
      </c>
      <c r="D65" s="5" t="s">
        <v>88</v>
      </c>
      <c r="E65" s="5" t="s">
        <v>153</v>
      </c>
      <c r="F65" s="5" t="s">
        <v>256</v>
      </c>
      <c r="G65" s="5" t="s">
        <v>257</v>
      </c>
      <c r="H65" s="5" t="s">
        <v>119</v>
      </c>
      <c r="I65" s="5" t="s">
        <v>41</v>
      </c>
      <c r="J65" s="5"/>
      <c r="K65" s="6" t="n">
        <f aca="false">SUMPRODUCT((Parti!$A$2:$A$3000=A65)*Parti!$C$2:$C$3000*Parti!$D$2:$D$3000*Parti!$E$2:$E$3000)</f>
        <v>300</v>
      </c>
      <c r="L65" s="6" t="n">
        <f aca="false">ROUND((K65*Legenda!$H$2/100+SUMPRODUCT((Parti!$A$2:$A$3000=A65)*Parti!$C$2:$C$3000*Parti!$D$2:$D$3000*(Parti!$F$2:$F$3000+Parti!$J$2:$J$3000)))/60,0)</f>
        <v>7</v>
      </c>
      <c r="M65" s="5"/>
      <c r="N65" s="5" t="s">
        <v>42</v>
      </c>
      <c r="O65" s="5" t="s">
        <v>43</v>
      </c>
    </row>
    <row r="66" customFormat="false" ht="15" hidden="false" customHeight="false" outlineLevel="0" collapsed="false">
      <c r="A66" s="5" t="s">
        <v>258</v>
      </c>
      <c r="B66" s="5" t="s">
        <v>69</v>
      </c>
      <c r="C66" s="5" t="s">
        <v>88</v>
      </c>
      <c r="D66" s="5" t="s">
        <v>88</v>
      </c>
      <c r="E66" s="5" t="s">
        <v>153</v>
      </c>
      <c r="F66" s="5" t="s">
        <v>259</v>
      </c>
      <c r="G66" s="5" t="s">
        <v>260</v>
      </c>
      <c r="H66" s="5" t="s">
        <v>119</v>
      </c>
      <c r="I66" s="5" t="s">
        <v>67</v>
      </c>
      <c r="J66" s="5"/>
      <c r="K66" s="6" t="n">
        <f aca="false">SUMPRODUCT((Parti!$A$2:$A$3000=A66)*Parti!$C$2:$C$3000*Parti!$D$2:$D$3000*Parti!$E$2:$E$3000)</f>
        <v>150</v>
      </c>
      <c r="L66" s="6" t="n">
        <f aca="false">ROUND((K66*Legenda!$H$2/100+SUMPRODUCT((Parti!$A$2:$A$3000=A66)*Parti!$C$2:$C$3000*Parti!$D$2:$D$3000*(Parti!$F$2:$F$3000+Parti!$J$2:$J$3000)))/60,0)</f>
        <v>5</v>
      </c>
      <c r="M66" s="5"/>
      <c r="N66" s="5" t="s">
        <v>42</v>
      </c>
      <c r="O66" s="5" t="s">
        <v>43</v>
      </c>
    </row>
    <row r="67" customFormat="false" ht="15" hidden="false" customHeight="false" outlineLevel="0" collapsed="false">
      <c r="A67" s="5" t="s">
        <v>261</v>
      </c>
      <c r="B67" s="5" t="s">
        <v>69</v>
      </c>
      <c r="C67" s="5" t="s">
        <v>88</v>
      </c>
      <c r="D67" s="5" t="s">
        <v>88</v>
      </c>
      <c r="E67" s="5" t="s">
        <v>153</v>
      </c>
      <c r="F67" s="5" t="s">
        <v>262</v>
      </c>
      <c r="G67" s="5" t="s">
        <v>263</v>
      </c>
      <c r="H67" s="5" t="s">
        <v>119</v>
      </c>
      <c r="I67" s="5" t="s">
        <v>41</v>
      </c>
      <c r="J67" s="5" t="s">
        <v>264</v>
      </c>
      <c r="K67" s="6" t="n">
        <f aca="false">SUMPRODUCT((Parti!$A$2:$A$3000=A67)*Parti!$C$2:$C$3000*Parti!$D$2:$D$3000*Parti!$E$2:$E$3000)</f>
        <v>300</v>
      </c>
      <c r="L67" s="6" t="n">
        <f aca="false">ROUND((K67*Legenda!$H$2/100+SUMPRODUCT((Parti!$A$2:$A$3000=A67)*Parti!$C$2:$C$3000*Parti!$D$2:$D$3000*(Parti!$F$2:$F$3000+Parti!$J$2:$J$3000)))/60,0)</f>
        <v>7</v>
      </c>
      <c r="M67" s="5"/>
      <c r="N67" s="5" t="s">
        <v>42</v>
      </c>
      <c r="O67" s="5" t="s">
        <v>43</v>
      </c>
    </row>
    <row r="68" customFormat="false" ht="15" hidden="false" customHeight="false" outlineLevel="0" collapsed="false">
      <c r="A68" s="5" t="s">
        <v>265</v>
      </c>
      <c r="B68" s="5" t="s">
        <v>69</v>
      </c>
      <c r="C68" s="5" t="s">
        <v>88</v>
      </c>
      <c r="D68" s="5" t="s">
        <v>88</v>
      </c>
      <c r="E68" s="5" t="s">
        <v>153</v>
      </c>
      <c r="F68" s="5" t="s">
        <v>266</v>
      </c>
      <c r="G68" s="5" t="s">
        <v>267</v>
      </c>
      <c r="H68" s="5" t="s">
        <v>119</v>
      </c>
      <c r="I68" s="5" t="s">
        <v>67</v>
      </c>
      <c r="J68" s="5" t="s">
        <v>264</v>
      </c>
      <c r="K68" s="6" t="n">
        <f aca="false">SUMPRODUCT((Parti!$A$2:$A$3000=A68)*Parti!$C$2:$C$3000*Parti!$D$2:$D$3000*Parti!$E$2:$E$3000)</f>
        <v>150</v>
      </c>
      <c r="L68" s="6" t="n">
        <f aca="false">ROUND((K68*Legenda!$H$2/100+SUMPRODUCT((Parti!$A$2:$A$3000=A68)*Parti!$C$2:$C$3000*Parti!$D$2:$D$3000*(Parti!$F$2:$F$3000+Parti!$J$2:$J$3000)))/60,0)</f>
        <v>5</v>
      </c>
      <c r="M68" s="5"/>
      <c r="N68" s="5" t="s">
        <v>42</v>
      </c>
      <c r="O68" s="5" t="s">
        <v>43</v>
      </c>
    </row>
    <row r="69" customFormat="false" ht="15" hidden="false" customHeight="false" outlineLevel="0" collapsed="false">
      <c r="A69" s="5" t="s">
        <v>268</v>
      </c>
      <c r="B69" s="5" t="s">
        <v>69</v>
      </c>
      <c r="C69" s="5" t="s">
        <v>88</v>
      </c>
      <c r="D69" s="5" t="s">
        <v>88</v>
      </c>
      <c r="E69" s="5" t="s">
        <v>153</v>
      </c>
      <c r="F69" s="5" t="s">
        <v>269</v>
      </c>
      <c r="G69" s="5" t="s">
        <v>270</v>
      </c>
      <c r="H69" s="5" t="s">
        <v>119</v>
      </c>
      <c r="I69" s="5" t="s">
        <v>41</v>
      </c>
      <c r="J69" s="5"/>
      <c r="K69" s="6" t="n">
        <f aca="false">SUMPRODUCT((Parti!$A$2:$A$3000=A69)*Parti!$C$2:$C$3000*Parti!$D$2:$D$3000*Parti!$E$2:$E$3000)</f>
        <v>300</v>
      </c>
      <c r="L69" s="6" t="n">
        <f aca="false">ROUND((K69*Legenda!$H$2/100+SUMPRODUCT((Parti!$A$2:$A$3000=A69)*Parti!$C$2:$C$3000*Parti!$D$2:$D$3000*(Parti!$F$2:$F$3000+Parti!$J$2:$J$3000)))/60,0)</f>
        <v>7</v>
      </c>
      <c r="M69" s="5"/>
      <c r="N69" s="5" t="s">
        <v>42</v>
      </c>
      <c r="O69" s="5" t="s">
        <v>43</v>
      </c>
    </row>
    <row r="70" customFormat="false" ht="15" hidden="false" customHeight="false" outlineLevel="0" collapsed="false">
      <c r="A70" s="5" t="s">
        <v>271</v>
      </c>
      <c r="B70" s="5" t="s">
        <v>69</v>
      </c>
      <c r="C70" s="5" t="s">
        <v>88</v>
      </c>
      <c r="D70" s="5" t="s">
        <v>88</v>
      </c>
      <c r="E70" s="5" t="s">
        <v>153</v>
      </c>
      <c r="F70" s="5" t="s">
        <v>272</v>
      </c>
      <c r="G70" s="5" t="s">
        <v>273</v>
      </c>
      <c r="H70" s="5" t="s">
        <v>119</v>
      </c>
      <c r="I70" s="5" t="s">
        <v>67</v>
      </c>
      <c r="J70" s="5"/>
      <c r="K70" s="6" t="n">
        <f aca="false">SUMPRODUCT((Parti!$A$2:$A$3000=A70)*Parti!$C$2:$C$3000*Parti!$D$2:$D$3000*Parti!$E$2:$E$3000)</f>
        <v>150</v>
      </c>
      <c r="L70" s="6" t="n">
        <f aca="false">ROUND((K70*Legenda!$H$2/100+SUMPRODUCT((Parti!$A$2:$A$3000=A70)*Parti!$C$2:$C$3000*Parti!$D$2:$D$3000*(Parti!$F$2:$F$3000+Parti!$J$2:$J$3000)))/60,0)</f>
        <v>5</v>
      </c>
      <c r="M70" s="5"/>
      <c r="N70" s="5" t="s">
        <v>42</v>
      </c>
      <c r="O70" s="5" t="s">
        <v>43</v>
      </c>
    </row>
    <row r="71" customFormat="false" ht="15" hidden="false" customHeight="false" outlineLevel="0" collapsed="false">
      <c r="A71" s="5" t="s">
        <v>274</v>
      </c>
      <c r="B71" s="5" t="s">
        <v>69</v>
      </c>
      <c r="C71" s="5" t="s">
        <v>88</v>
      </c>
      <c r="D71" s="5" t="s">
        <v>88</v>
      </c>
      <c r="E71" s="5" t="s">
        <v>153</v>
      </c>
      <c r="F71" s="5" t="s">
        <v>275</v>
      </c>
      <c r="G71" s="5" t="s">
        <v>276</v>
      </c>
      <c r="H71" s="5" t="s">
        <v>123</v>
      </c>
      <c r="I71" s="5" t="s">
        <v>41</v>
      </c>
      <c r="J71" s="5" t="s">
        <v>83</v>
      </c>
      <c r="K71" s="6" t="n">
        <f aca="false">SUMPRODUCT((Parti!$A$2:$A$3000=A71)*Parti!$C$2:$C$3000*Parti!$D$2:$D$3000*Parti!$E$2:$E$3000)</f>
        <v>300</v>
      </c>
      <c r="L71" s="6" t="n">
        <f aca="false">ROUND((K71*Legenda!$H$2/100+SUMPRODUCT((Parti!$A$2:$A$3000=A71)*Parti!$C$2:$C$3000*Parti!$D$2:$D$3000*(Parti!$F$2:$F$3000+Parti!$J$2:$J$3000)))/60,0)</f>
        <v>7</v>
      </c>
      <c r="M71" s="5"/>
      <c r="N71" s="5" t="s">
        <v>42</v>
      </c>
      <c r="O71" s="5" t="s">
        <v>43</v>
      </c>
    </row>
    <row r="72" customFormat="false" ht="15" hidden="false" customHeight="false" outlineLevel="0" collapsed="false">
      <c r="A72" s="5" t="s">
        <v>277</v>
      </c>
      <c r="B72" s="5" t="s">
        <v>69</v>
      </c>
      <c r="C72" s="5" t="s">
        <v>88</v>
      </c>
      <c r="D72" s="5" t="s">
        <v>88</v>
      </c>
      <c r="E72" s="5" t="s">
        <v>153</v>
      </c>
      <c r="F72" s="5" t="s">
        <v>278</v>
      </c>
      <c r="G72" s="5" t="s">
        <v>279</v>
      </c>
      <c r="H72" s="5" t="s">
        <v>123</v>
      </c>
      <c r="I72" s="5" t="s">
        <v>67</v>
      </c>
      <c r="J72" s="5" t="s">
        <v>83</v>
      </c>
      <c r="K72" s="6" t="n">
        <f aca="false">SUMPRODUCT((Parti!$A$2:$A$3000=A72)*Parti!$C$2:$C$3000*Parti!$D$2:$D$3000*Parti!$E$2:$E$3000)</f>
        <v>150</v>
      </c>
      <c r="L72" s="6" t="n">
        <f aca="false">ROUND((K72*Legenda!$H$2/100+SUMPRODUCT((Parti!$A$2:$A$3000=A72)*Parti!$C$2:$C$3000*Parti!$D$2:$D$3000*(Parti!$F$2:$F$3000+Parti!$J$2:$J$3000)))/60,0)</f>
        <v>5</v>
      </c>
      <c r="M72" s="5"/>
      <c r="N72" s="5" t="s">
        <v>42</v>
      </c>
      <c r="O72" s="5" t="s">
        <v>43</v>
      </c>
    </row>
    <row r="73" customFormat="false" ht="15" hidden="false" customHeight="false" outlineLevel="0" collapsed="false">
      <c r="A73" s="5" t="s">
        <v>280</v>
      </c>
      <c r="B73" s="5" t="s">
        <v>69</v>
      </c>
      <c r="C73" s="5" t="s">
        <v>88</v>
      </c>
      <c r="D73" s="5" t="s">
        <v>88</v>
      </c>
      <c r="E73" s="5" t="s">
        <v>153</v>
      </c>
      <c r="F73" s="5" t="s">
        <v>281</v>
      </c>
      <c r="G73" s="5" t="s">
        <v>282</v>
      </c>
      <c r="H73" s="5" t="s">
        <v>123</v>
      </c>
      <c r="I73" s="5" t="s">
        <v>41</v>
      </c>
      <c r="J73" s="5" t="s">
        <v>83</v>
      </c>
      <c r="K73" s="6" t="n">
        <f aca="false">SUMPRODUCT((Parti!$A$2:$A$3000=A73)*Parti!$C$2:$C$3000*Parti!$D$2:$D$3000*Parti!$E$2:$E$3000)</f>
        <v>300</v>
      </c>
      <c r="L73" s="6" t="n">
        <f aca="false">ROUND((K73*Legenda!$H$2/100+SUMPRODUCT((Parti!$A$2:$A$3000=A73)*Parti!$C$2:$C$3000*Parti!$D$2:$D$3000*(Parti!$F$2:$F$3000+Parti!$J$2:$J$3000)))/60,0)</f>
        <v>7</v>
      </c>
      <c r="M73" s="5"/>
      <c r="N73" s="5" t="s">
        <v>42</v>
      </c>
      <c r="O73" s="5" t="s">
        <v>43</v>
      </c>
    </row>
    <row r="74" customFormat="false" ht="15" hidden="false" customHeight="false" outlineLevel="0" collapsed="false">
      <c r="A74" s="5" t="s">
        <v>283</v>
      </c>
      <c r="B74" s="5" t="s">
        <v>69</v>
      </c>
      <c r="C74" s="5" t="s">
        <v>88</v>
      </c>
      <c r="D74" s="5" t="s">
        <v>88</v>
      </c>
      <c r="E74" s="5" t="s">
        <v>153</v>
      </c>
      <c r="F74" s="5" t="s">
        <v>284</v>
      </c>
      <c r="G74" s="5" t="s">
        <v>285</v>
      </c>
      <c r="H74" s="5" t="s">
        <v>123</v>
      </c>
      <c r="I74" s="5" t="s">
        <v>67</v>
      </c>
      <c r="J74" s="5" t="s">
        <v>83</v>
      </c>
      <c r="K74" s="6" t="n">
        <f aca="false">SUMPRODUCT((Parti!$A$2:$A$3000=A74)*Parti!$C$2:$C$3000*Parti!$D$2:$D$3000*Parti!$E$2:$E$3000)</f>
        <v>150</v>
      </c>
      <c r="L74" s="6" t="n">
        <f aca="false">ROUND((K74*Legenda!$H$2/100+SUMPRODUCT((Parti!$A$2:$A$3000=A74)*Parti!$C$2:$C$3000*Parti!$D$2:$D$3000*(Parti!$F$2:$F$3000+Parti!$J$2:$J$3000)))/60,0)</f>
        <v>5</v>
      </c>
      <c r="M74" s="5"/>
      <c r="N74" s="5" t="s">
        <v>42</v>
      </c>
      <c r="O74" s="5" t="s">
        <v>43</v>
      </c>
    </row>
    <row r="75" customFormat="false" ht="15" hidden="false" customHeight="false" outlineLevel="0" collapsed="false">
      <c r="A75" s="5" t="s">
        <v>286</v>
      </c>
      <c r="B75" s="5" t="s">
        <v>69</v>
      </c>
      <c r="C75" s="5" t="s">
        <v>88</v>
      </c>
      <c r="D75" s="5" t="s">
        <v>88</v>
      </c>
      <c r="E75" s="5" t="s">
        <v>153</v>
      </c>
      <c r="F75" s="5" t="s">
        <v>287</v>
      </c>
      <c r="G75" s="5" t="s">
        <v>288</v>
      </c>
      <c r="H75" s="5" t="s">
        <v>123</v>
      </c>
      <c r="I75" s="5" t="s">
        <v>41</v>
      </c>
      <c r="J75" s="5"/>
      <c r="K75" s="6" t="n">
        <f aca="false">SUMPRODUCT((Parti!$A$2:$A$3000=A75)*Parti!$C$2:$C$3000*Parti!$D$2:$D$3000*Parti!$E$2:$E$3000)</f>
        <v>300</v>
      </c>
      <c r="L75" s="6" t="n">
        <f aca="false">ROUND((K75*Legenda!$H$2/100+SUMPRODUCT((Parti!$A$2:$A$3000=A75)*Parti!$C$2:$C$3000*Parti!$D$2:$D$3000*(Parti!$F$2:$F$3000+Parti!$J$2:$J$3000)))/60,0)</f>
        <v>7</v>
      </c>
      <c r="M75" s="5"/>
      <c r="N75" s="5" t="s">
        <v>42</v>
      </c>
      <c r="O75" s="5" t="s">
        <v>43</v>
      </c>
    </row>
    <row r="76" customFormat="false" ht="15" hidden="false" customHeight="false" outlineLevel="0" collapsed="false">
      <c r="A76" s="5" t="s">
        <v>289</v>
      </c>
      <c r="B76" s="5" t="s">
        <v>69</v>
      </c>
      <c r="C76" s="5" t="s">
        <v>88</v>
      </c>
      <c r="D76" s="5" t="s">
        <v>88</v>
      </c>
      <c r="E76" s="5" t="s">
        <v>153</v>
      </c>
      <c r="F76" s="5" t="s">
        <v>290</v>
      </c>
      <c r="G76" s="5" t="s">
        <v>291</v>
      </c>
      <c r="H76" s="5" t="s">
        <v>123</v>
      </c>
      <c r="I76" s="5" t="s">
        <v>67</v>
      </c>
      <c r="J76" s="5"/>
      <c r="K76" s="6" t="n">
        <f aca="false">SUMPRODUCT((Parti!$A$2:$A$3000=A76)*Parti!$C$2:$C$3000*Parti!$D$2:$D$3000*Parti!$E$2:$E$3000)</f>
        <v>150</v>
      </c>
      <c r="L76" s="6" t="n">
        <f aca="false">ROUND((K76*Legenda!$H$2/100+SUMPRODUCT((Parti!$A$2:$A$3000=A76)*Parti!$C$2:$C$3000*Parti!$D$2:$D$3000*(Parti!$F$2:$F$3000+Parti!$J$2:$J$3000)))/60,0)</f>
        <v>5</v>
      </c>
      <c r="M76" s="5"/>
      <c r="N76" s="5" t="s">
        <v>42</v>
      </c>
      <c r="O76" s="5" t="s">
        <v>43</v>
      </c>
    </row>
    <row r="77" customFormat="false" ht="15" hidden="false" customHeight="false" outlineLevel="0" collapsed="false">
      <c r="A77" s="5" t="s">
        <v>292</v>
      </c>
      <c r="B77" s="5" t="s">
        <v>69</v>
      </c>
      <c r="C77" s="5" t="s">
        <v>88</v>
      </c>
      <c r="D77" s="5" t="s">
        <v>88</v>
      </c>
      <c r="E77" s="5" t="s">
        <v>153</v>
      </c>
      <c r="F77" s="5" t="s">
        <v>293</v>
      </c>
      <c r="G77" s="5" t="s">
        <v>294</v>
      </c>
      <c r="H77" s="5" t="s">
        <v>123</v>
      </c>
      <c r="I77" s="5" t="s">
        <v>41</v>
      </c>
      <c r="J77" s="5"/>
      <c r="K77" s="6" t="n">
        <f aca="false">SUMPRODUCT((Parti!$A$2:$A$3000=A77)*Parti!$C$2:$C$3000*Parti!$D$2:$D$3000*Parti!$E$2:$E$3000)</f>
        <v>300</v>
      </c>
      <c r="L77" s="6" t="n">
        <f aca="false">ROUND((K77*Legenda!$H$2/100+SUMPRODUCT((Parti!$A$2:$A$3000=A77)*Parti!$C$2:$C$3000*Parti!$D$2:$D$3000*(Parti!$F$2:$F$3000+Parti!$J$2:$J$3000)))/60,0)</f>
        <v>7</v>
      </c>
      <c r="M77" s="5"/>
      <c r="N77" s="5" t="s">
        <v>42</v>
      </c>
      <c r="O77" s="5" t="s">
        <v>43</v>
      </c>
    </row>
    <row r="78" customFormat="false" ht="15" hidden="false" customHeight="false" outlineLevel="0" collapsed="false">
      <c r="A78" s="5" t="s">
        <v>295</v>
      </c>
      <c r="B78" s="5" t="s">
        <v>69</v>
      </c>
      <c r="C78" s="5" t="s">
        <v>88</v>
      </c>
      <c r="D78" s="5" t="s">
        <v>88</v>
      </c>
      <c r="E78" s="5" t="s">
        <v>153</v>
      </c>
      <c r="F78" s="5" t="s">
        <v>296</v>
      </c>
      <c r="G78" s="5" t="s">
        <v>297</v>
      </c>
      <c r="H78" s="5" t="s">
        <v>123</v>
      </c>
      <c r="I78" s="5" t="s">
        <v>67</v>
      </c>
      <c r="J78" s="5"/>
      <c r="K78" s="6" t="n">
        <f aca="false">SUMPRODUCT((Parti!$A$2:$A$3000=A78)*Parti!$C$2:$C$3000*Parti!$D$2:$D$3000*Parti!$E$2:$E$3000)</f>
        <v>150</v>
      </c>
      <c r="L78" s="6" t="n">
        <f aca="false">ROUND((K78*Legenda!$H$2/100+SUMPRODUCT((Parti!$A$2:$A$3000=A78)*Parti!$C$2:$C$3000*Parti!$D$2:$D$3000*(Parti!$F$2:$F$3000+Parti!$J$2:$J$3000)))/60,0)</f>
        <v>5</v>
      </c>
      <c r="M78" s="5"/>
      <c r="N78" s="5" t="s">
        <v>42</v>
      </c>
      <c r="O78" s="5" t="s">
        <v>43</v>
      </c>
    </row>
    <row r="79" customFormat="false" ht="15" hidden="false" customHeight="false" outlineLevel="0" collapsed="false">
      <c r="A79" s="5" t="s">
        <v>298</v>
      </c>
      <c r="B79" s="5" t="s">
        <v>69</v>
      </c>
      <c r="C79" s="5" t="s">
        <v>88</v>
      </c>
      <c r="D79" s="5" t="s">
        <v>88</v>
      </c>
      <c r="E79" s="5" t="s">
        <v>153</v>
      </c>
      <c r="F79" s="5" t="s">
        <v>299</v>
      </c>
      <c r="G79" s="5" t="s">
        <v>300</v>
      </c>
      <c r="H79" s="5" t="s">
        <v>123</v>
      </c>
      <c r="I79" s="5" t="s">
        <v>41</v>
      </c>
      <c r="J79" s="5"/>
      <c r="K79" s="6" t="n">
        <f aca="false">SUMPRODUCT((Parti!$A$2:$A$3000=A79)*Parti!$C$2:$C$3000*Parti!$D$2:$D$3000*Parti!$E$2:$E$3000)</f>
        <v>300</v>
      </c>
      <c r="L79" s="6" t="n">
        <f aca="false">ROUND((K79*Legenda!$H$2/100+SUMPRODUCT((Parti!$A$2:$A$3000=A79)*Parti!$C$2:$C$3000*Parti!$D$2:$D$3000*(Parti!$F$2:$F$3000+Parti!$J$2:$J$3000)))/60,0)</f>
        <v>7</v>
      </c>
      <c r="M79" s="5"/>
      <c r="N79" s="5" t="s">
        <v>42</v>
      </c>
      <c r="O79" s="5" t="s">
        <v>43</v>
      </c>
    </row>
    <row r="80" customFormat="false" ht="15" hidden="false" customHeight="false" outlineLevel="0" collapsed="false">
      <c r="A80" s="5" t="s">
        <v>301</v>
      </c>
      <c r="B80" s="5" t="s">
        <v>69</v>
      </c>
      <c r="C80" s="5" t="s">
        <v>88</v>
      </c>
      <c r="D80" s="5" t="s">
        <v>88</v>
      </c>
      <c r="E80" s="5" t="s">
        <v>153</v>
      </c>
      <c r="F80" s="5" t="s">
        <v>302</v>
      </c>
      <c r="G80" s="5" t="s">
        <v>303</v>
      </c>
      <c r="H80" s="5" t="s">
        <v>123</v>
      </c>
      <c r="I80" s="5" t="s">
        <v>67</v>
      </c>
      <c r="J80" s="5"/>
      <c r="K80" s="6" t="n">
        <f aca="false">SUMPRODUCT((Parti!$A$2:$A$3000=A80)*Parti!$C$2:$C$3000*Parti!$D$2:$D$3000*Parti!$E$2:$E$3000)</f>
        <v>150</v>
      </c>
      <c r="L80" s="6" t="n">
        <f aca="false">ROUND((K80*Legenda!$H$2/100+SUMPRODUCT((Parti!$A$2:$A$3000=A80)*Parti!$C$2:$C$3000*Parti!$D$2:$D$3000*(Parti!$F$2:$F$3000+Parti!$J$2:$J$3000)))/60,0)</f>
        <v>5</v>
      </c>
      <c r="M80" s="5"/>
      <c r="N80" s="5" t="s">
        <v>42</v>
      </c>
      <c r="O80" s="5" t="s">
        <v>43</v>
      </c>
    </row>
    <row r="81" customFormat="false" ht="15" hidden="false" customHeight="false" outlineLevel="0" collapsed="false">
      <c r="A81" s="5" t="s">
        <v>304</v>
      </c>
      <c r="B81" s="5" t="s">
        <v>69</v>
      </c>
      <c r="C81" s="5" t="s">
        <v>88</v>
      </c>
      <c r="D81" s="5" t="s">
        <v>88</v>
      </c>
      <c r="E81" s="5" t="s">
        <v>153</v>
      </c>
      <c r="F81" s="5" t="s">
        <v>305</v>
      </c>
      <c r="G81" s="5" t="s">
        <v>306</v>
      </c>
      <c r="H81" s="5" t="s">
        <v>123</v>
      </c>
      <c r="I81" s="5" t="s">
        <v>41</v>
      </c>
      <c r="J81" s="5" t="s">
        <v>83</v>
      </c>
      <c r="K81" s="6" t="n">
        <f aca="false">SUMPRODUCT((Parti!$A$2:$A$3000=A81)*Parti!$C$2:$C$3000*Parti!$D$2:$D$3000*Parti!$E$2:$E$3000)</f>
        <v>300</v>
      </c>
      <c r="L81" s="6" t="n">
        <f aca="false">ROUND((K81*Legenda!$H$2/100+SUMPRODUCT((Parti!$A$2:$A$3000=A81)*Parti!$C$2:$C$3000*Parti!$D$2:$D$3000*(Parti!$F$2:$F$3000+Parti!$J$2:$J$3000)))/60,0)</f>
        <v>7</v>
      </c>
      <c r="M81" s="5"/>
      <c r="N81" s="5" t="s">
        <v>42</v>
      </c>
      <c r="O81" s="5" t="s">
        <v>43</v>
      </c>
    </row>
    <row r="82" customFormat="false" ht="15" hidden="false" customHeight="false" outlineLevel="0" collapsed="false">
      <c r="A82" s="5" t="s">
        <v>307</v>
      </c>
      <c r="B82" s="5" t="s">
        <v>69</v>
      </c>
      <c r="C82" s="5" t="s">
        <v>88</v>
      </c>
      <c r="D82" s="5" t="s">
        <v>88</v>
      </c>
      <c r="E82" s="5" t="s">
        <v>153</v>
      </c>
      <c r="F82" s="5" t="s">
        <v>308</v>
      </c>
      <c r="G82" s="5" t="s">
        <v>309</v>
      </c>
      <c r="H82" s="5" t="s">
        <v>123</v>
      </c>
      <c r="I82" s="5" t="s">
        <v>67</v>
      </c>
      <c r="J82" s="5" t="s">
        <v>83</v>
      </c>
      <c r="K82" s="6" t="n">
        <f aca="false">SUMPRODUCT((Parti!$A$2:$A$3000=A82)*Parti!$C$2:$C$3000*Parti!$D$2:$D$3000*Parti!$E$2:$E$3000)</f>
        <v>150</v>
      </c>
      <c r="L82" s="6" t="n">
        <f aca="false">ROUND((K82*Legenda!$H$2/100+SUMPRODUCT((Parti!$A$2:$A$3000=A82)*Parti!$C$2:$C$3000*Parti!$D$2:$D$3000*(Parti!$F$2:$F$3000+Parti!$J$2:$J$3000)))/60,0)</f>
        <v>5</v>
      </c>
      <c r="M82" s="5"/>
      <c r="N82" s="5" t="s">
        <v>42</v>
      </c>
      <c r="O82" s="5" t="s">
        <v>43</v>
      </c>
    </row>
    <row r="83" customFormat="false" ht="15" hidden="false" customHeight="false" outlineLevel="0" collapsed="false">
      <c r="A83" s="5" t="s">
        <v>310</v>
      </c>
      <c r="B83" s="5" t="s">
        <v>69</v>
      </c>
      <c r="C83" s="5" t="s">
        <v>88</v>
      </c>
      <c r="D83" s="5" t="s">
        <v>88</v>
      </c>
      <c r="E83" s="5" t="s">
        <v>153</v>
      </c>
      <c r="F83" s="5" t="s">
        <v>311</v>
      </c>
      <c r="G83" s="5" t="s">
        <v>312</v>
      </c>
      <c r="H83" s="5" t="s">
        <v>48</v>
      </c>
      <c r="I83" s="5" t="s">
        <v>111</v>
      </c>
      <c r="J83" s="5"/>
      <c r="K83" s="6" t="n">
        <f aca="false">SUMPRODUCT((Parti!$A$2:$A$3000=A83)*Parti!$C$2:$C$3000*Parti!$D$2:$D$3000*Parti!$E$2:$E$3000)</f>
        <v>200</v>
      </c>
      <c r="L83" s="6" t="n">
        <f aca="false">ROUND((K83*Legenda!$H$2/100+SUMPRODUCT((Parti!$A$2:$A$3000=A83)*Parti!$C$2:$C$3000*Parti!$D$2:$D$3000*(Parti!$F$2:$F$3000+Parti!$J$2:$J$3000)))/60,0)</f>
        <v>6</v>
      </c>
      <c r="M83" s="5"/>
      <c r="N83" s="5" t="s">
        <v>42</v>
      </c>
      <c r="O83" s="5" t="s">
        <v>43</v>
      </c>
    </row>
    <row r="84" customFormat="false" ht="15" hidden="false" customHeight="false" outlineLevel="0" collapsed="false">
      <c r="A84" s="5" t="s">
        <v>313</v>
      </c>
      <c r="B84" s="5" t="s">
        <v>69</v>
      </c>
      <c r="C84" s="5" t="s">
        <v>88</v>
      </c>
      <c r="D84" s="5" t="s">
        <v>88</v>
      </c>
      <c r="E84" s="5" t="s">
        <v>153</v>
      </c>
      <c r="F84" s="5" t="s">
        <v>314</v>
      </c>
      <c r="G84" s="5" t="s">
        <v>315</v>
      </c>
      <c r="H84" s="5" t="s">
        <v>115</v>
      </c>
      <c r="I84" s="5" t="s">
        <v>111</v>
      </c>
      <c r="J84" s="5"/>
      <c r="K84" s="6" t="n">
        <f aca="false">SUMPRODUCT((Parti!$A$2:$A$3000=A84)*Parti!$C$2:$C$3000*Parti!$D$2:$D$3000*Parti!$E$2:$E$3000)</f>
        <v>200</v>
      </c>
      <c r="L84" s="6" t="n">
        <f aca="false">ROUND((K84*Legenda!$H$2/100+SUMPRODUCT((Parti!$A$2:$A$3000=A84)*Parti!$C$2:$C$3000*Parti!$D$2:$D$3000*(Parti!$F$2:$F$3000+Parti!$J$2:$J$3000)))/60,0)</f>
        <v>6</v>
      </c>
      <c r="M84" s="5"/>
      <c r="N84" s="5" t="s">
        <v>42</v>
      </c>
      <c r="O84" s="5" t="s">
        <v>43</v>
      </c>
    </row>
    <row r="85" customFormat="false" ht="15" hidden="false" customHeight="false" outlineLevel="0" collapsed="false">
      <c r="A85" s="5" t="s">
        <v>316</v>
      </c>
      <c r="B85" s="5" t="s">
        <v>69</v>
      </c>
      <c r="C85" s="5" t="s">
        <v>88</v>
      </c>
      <c r="D85" s="5" t="s">
        <v>88</v>
      </c>
      <c r="E85" s="5" t="s">
        <v>153</v>
      </c>
      <c r="F85" s="5" t="s">
        <v>317</v>
      </c>
      <c r="G85" s="5" t="s">
        <v>318</v>
      </c>
      <c r="H85" s="5" t="s">
        <v>52</v>
      </c>
      <c r="I85" s="5" t="s">
        <v>111</v>
      </c>
      <c r="J85" s="5"/>
      <c r="K85" s="6" t="n">
        <f aca="false">SUMPRODUCT((Parti!$A$2:$A$3000=A85)*Parti!$C$2:$C$3000*Parti!$D$2:$D$3000*Parti!$E$2:$E$3000)</f>
        <v>200</v>
      </c>
      <c r="L85" s="6" t="n">
        <f aca="false">ROUND((K85*Legenda!$H$2/100+SUMPRODUCT((Parti!$A$2:$A$3000=A85)*Parti!$C$2:$C$3000*Parti!$D$2:$D$3000*(Parti!$F$2:$F$3000+Parti!$J$2:$J$3000)))/60,0)</f>
        <v>6</v>
      </c>
      <c r="M85" s="5"/>
      <c r="N85" s="5" t="s">
        <v>42</v>
      </c>
      <c r="O85" s="5" t="s">
        <v>43</v>
      </c>
    </row>
    <row r="86" customFormat="false" ht="15" hidden="false" customHeight="false" outlineLevel="0" collapsed="false">
      <c r="A86" s="5" t="s">
        <v>319</v>
      </c>
      <c r="B86" s="5" t="s">
        <v>69</v>
      </c>
      <c r="C86" s="5" t="s">
        <v>88</v>
      </c>
      <c r="D86" s="5" t="s">
        <v>88</v>
      </c>
      <c r="E86" s="5" t="s">
        <v>153</v>
      </c>
      <c r="F86" s="5" t="s">
        <v>320</v>
      </c>
      <c r="G86" s="5" t="s">
        <v>321</v>
      </c>
      <c r="H86" s="5" t="s">
        <v>52</v>
      </c>
      <c r="I86" s="5" t="s">
        <v>53</v>
      </c>
      <c r="J86" s="5"/>
      <c r="K86" s="6" t="n">
        <f aca="false">SUMPRODUCT((Parti!$A$2:$A$3000=A86)*Parti!$C$2:$C$3000*Parti!$D$2:$D$3000*Parti!$E$2:$E$3000)</f>
        <v>400</v>
      </c>
      <c r="L86" s="6" t="n">
        <f aca="false">ROUND((K86*Legenda!$H$2/100+SUMPRODUCT((Parti!$A$2:$A$3000=A86)*Parti!$C$2:$C$3000*Parti!$D$2:$D$3000*(Parti!$F$2:$F$3000+Parti!$J$2:$J$3000)))/60,0)</f>
        <v>10</v>
      </c>
      <c r="M86" s="5"/>
      <c r="N86" s="5" t="s">
        <v>42</v>
      </c>
      <c r="O86" s="5" t="s">
        <v>43</v>
      </c>
    </row>
    <row r="87" customFormat="false" ht="15" hidden="false" customHeight="false" outlineLevel="0" collapsed="false">
      <c r="A87" s="5" t="s">
        <v>322</v>
      </c>
      <c r="B87" s="5" t="s">
        <v>69</v>
      </c>
      <c r="C87" s="5" t="s">
        <v>88</v>
      </c>
      <c r="D87" s="5" t="s">
        <v>88</v>
      </c>
      <c r="E87" s="5" t="s">
        <v>135</v>
      </c>
      <c r="F87" s="5" t="s">
        <v>323</v>
      </c>
      <c r="G87" s="5" t="s">
        <v>324</v>
      </c>
      <c r="H87" s="5" t="s">
        <v>133</v>
      </c>
      <c r="I87" s="5" t="s">
        <v>53</v>
      </c>
      <c r="J87" s="5"/>
      <c r="K87" s="6" t="n">
        <f aca="false">SUMPRODUCT((Parti!$A$2:$A$3000=A87)*Parti!$C$2:$C$3000*Parti!$D$2:$D$3000*Parti!$E$2:$E$3000)</f>
        <v>90</v>
      </c>
      <c r="L87" s="6" t="n">
        <f aca="false">ROUND((K87*Legenda!$H$2/100+SUMPRODUCT((Parti!$A$2:$A$3000=A87)*Parti!$C$2:$C$3000*Parti!$D$2:$D$3000*(Parti!$F$2:$F$3000+Parti!$J$2:$J$3000)))/60,0)</f>
        <v>8</v>
      </c>
      <c r="M87" s="5"/>
      <c r="N87" s="5" t="s">
        <v>42</v>
      </c>
      <c r="O87" s="5" t="s">
        <v>43</v>
      </c>
    </row>
    <row r="88" customFormat="false" ht="15" hidden="false" customHeight="false" outlineLevel="0" collapsed="false">
      <c r="A88" s="5" t="s">
        <v>325</v>
      </c>
      <c r="B88" s="5" t="s">
        <v>69</v>
      </c>
      <c r="C88" s="5" t="s">
        <v>88</v>
      </c>
      <c r="D88" s="5" t="s">
        <v>88</v>
      </c>
      <c r="E88" s="5" t="s">
        <v>135</v>
      </c>
      <c r="F88" s="5" t="s">
        <v>326</v>
      </c>
      <c r="G88" s="5" t="s">
        <v>327</v>
      </c>
      <c r="H88" s="5" t="s">
        <v>115</v>
      </c>
      <c r="I88" s="5" t="s">
        <v>53</v>
      </c>
      <c r="J88" s="5"/>
      <c r="K88" s="6" t="n">
        <f aca="false">SUMPRODUCT((Parti!$A$2:$A$3000=A88)*Parti!$C$2:$C$3000*Parti!$D$2:$D$3000*Parti!$E$2:$E$3000)</f>
        <v>90</v>
      </c>
      <c r="L88" s="6" t="n">
        <f aca="false">ROUND((K88*Legenda!$H$2/100+SUMPRODUCT((Parti!$A$2:$A$3000=A88)*Parti!$C$2:$C$3000*Parti!$D$2:$D$3000*(Parti!$F$2:$F$3000+Parti!$J$2:$J$3000)))/60,0)</f>
        <v>8</v>
      </c>
      <c r="M88" s="5"/>
      <c r="N88" s="5" t="s">
        <v>42</v>
      </c>
      <c r="O88" s="5" t="s">
        <v>43</v>
      </c>
    </row>
    <row r="89" customFormat="false" ht="15" hidden="false" customHeight="false" outlineLevel="0" collapsed="false">
      <c r="A89" s="5" t="s">
        <v>328</v>
      </c>
      <c r="B89" s="5" t="s">
        <v>69</v>
      </c>
      <c r="C89" s="5" t="s">
        <v>88</v>
      </c>
      <c r="D89" s="5" t="s">
        <v>88</v>
      </c>
      <c r="E89" s="5" t="s">
        <v>153</v>
      </c>
      <c r="F89" s="5" t="s">
        <v>329</v>
      </c>
      <c r="G89" s="5" t="s">
        <v>330</v>
      </c>
      <c r="H89" s="5" t="s">
        <v>123</v>
      </c>
      <c r="I89" s="5" t="s">
        <v>53</v>
      </c>
      <c r="J89" s="5" t="s">
        <v>83</v>
      </c>
      <c r="K89" s="6" t="n">
        <f aca="false">SUMPRODUCT((Parti!$A$2:$A$3000=A89)*Parti!$C$2:$C$3000*Parti!$D$2:$D$3000*Parti!$E$2:$E$3000)</f>
        <v>120</v>
      </c>
      <c r="L89" s="6" t="n">
        <f aca="false">ROUND((K89*Legenda!$H$2/100+SUMPRODUCT((Parti!$A$2:$A$3000=A89)*Parti!$C$2:$C$3000*Parti!$D$2:$D$3000*(Parti!$F$2:$F$3000+Parti!$J$2:$J$3000)))/60,0)</f>
        <v>6</v>
      </c>
      <c r="M89" s="5"/>
      <c r="N89" s="5" t="s">
        <v>42</v>
      </c>
      <c r="O89" s="5" t="s">
        <v>43</v>
      </c>
    </row>
    <row r="90" customFormat="false" ht="15" hidden="false" customHeight="false" outlineLevel="0" collapsed="false">
      <c r="A90" s="5" t="s">
        <v>331</v>
      </c>
      <c r="B90" s="5" t="s">
        <v>69</v>
      </c>
      <c r="C90" s="5" t="s">
        <v>88</v>
      </c>
      <c r="D90" s="5" t="s">
        <v>88</v>
      </c>
      <c r="E90" s="5" t="s">
        <v>135</v>
      </c>
      <c r="F90" s="5" t="s">
        <v>332</v>
      </c>
      <c r="G90" s="5" t="s">
        <v>333</v>
      </c>
      <c r="H90" s="5" t="s">
        <v>133</v>
      </c>
      <c r="I90" s="5" t="s">
        <v>111</v>
      </c>
      <c r="J90" s="5"/>
      <c r="K90" s="6" t="n">
        <f aca="false">SUMPRODUCT((Parti!$A$2:$A$3000=A90)*Parti!$C$2:$C$3000*Parti!$D$2:$D$3000*Parti!$E$2:$E$3000)</f>
        <v>60</v>
      </c>
      <c r="L90" s="6" t="n">
        <f aca="false">ROUND((K90*Legenda!$H$2/100+SUMPRODUCT((Parti!$A$2:$A$3000=A90)*Parti!$C$2:$C$3000*Parti!$D$2:$D$3000*(Parti!$F$2:$F$3000+Parti!$J$2:$J$3000)))/60,0)</f>
        <v>4</v>
      </c>
      <c r="M90" s="5"/>
      <c r="N90" s="5" t="s">
        <v>42</v>
      </c>
      <c r="O90" s="5" t="s">
        <v>43</v>
      </c>
    </row>
    <row r="91" customFormat="false" ht="15" hidden="false" customHeight="false" outlineLevel="0" collapsed="false">
      <c r="A91" s="5" t="s">
        <v>334</v>
      </c>
      <c r="B91" s="5" t="s">
        <v>69</v>
      </c>
      <c r="C91" s="5" t="s">
        <v>88</v>
      </c>
      <c r="D91" s="5" t="s">
        <v>88</v>
      </c>
      <c r="E91" s="5" t="s">
        <v>153</v>
      </c>
      <c r="F91" s="5" t="s">
        <v>335</v>
      </c>
      <c r="G91" s="5" t="s">
        <v>336</v>
      </c>
      <c r="H91" s="5" t="s">
        <v>133</v>
      </c>
      <c r="I91" s="5" t="s">
        <v>53</v>
      </c>
      <c r="J91" s="5"/>
      <c r="K91" s="6" t="n">
        <f aca="false">SUMPRODUCT((Parti!$A$2:$A$3000=A91)*Parti!$C$2:$C$3000*Parti!$D$2:$D$3000*Parti!$E$2:$E$3000)</f>
        <v>200</v>
      </c>
      <c r="L91" s="6" t="n">
        <f aca="false">ROUND((K91*Legenda!$H$2/100+SUMPRODUCT((Parti!$A$2:$A$3000=A91)*Parti!$C$2:$C$3000*Parti!$D$2:$D$3000*(Parti!$F$2:$F$3000+Parti!$J$2:$J$3000)))/60,0)</f>
        <v>9</v>
      </c>
      <c r="M91" s="5" t="s">
        <v>337</v>
      </c>
      <c r="N91" s="5" t="s">
        <v>42</v>
      </c>
      <c r="O91" s="5" t="s">
        <v>43</v>
      </c>
    </row>
    <row r="92" customFormat="false" ht="15" hidden="false" customHeight="false" outlineLevel="0" collapsed="false">
      <c r="A92" s="5" t="s">
        <v>338</v>
      </c>
      <c r="B92" s="5" t="s">
        <v>34</v>
      </c>
      <c r="C92" s="5" t="s">
        <v>88</v>
      </c>
      <c r="D92" s="5" t="s">
        <v>88</v>
      </c>
      <c r="E92" s="5" t="s">
        <v>37</v>
      </c>
      <c r="F92" s="5" t="s">
        <v>339</v>
      </c>
      <c r="G92" s="5" t="s">
        <v>340</v>
      </c>
      <c r="H92" s="5" t="s">
        <v>48</v>
      </c>
      <c r="I92" s="5" t="s">
        <v>41</v>
      </c>
      <c r="J92" s="5"/>
      <c r="K92" s="6" t="n">
        <f aca="false">SUMPRODUCT((Parti!$A$2:$A$3000=A92)*Parti!$C$2:$C$3000*Parti!$D$2:$D$3000*Parti!$E$2:$E$3000)</f>
        <v>400</v>
      </c>
      <c r="L92" s="6" t="n">
        <f aca="false">ROUND((K92*Legenda!$H$2/100+SUMPRODUCT((Parti!$A$2:$A$3000=A92)*Parti!$C$2:$C$3000*Parti!$D$2:$D$3000*(Parti!$F$2:$F$3000+Parti!$J$2:$J$3000)))/60,0)</f>
        <v>10</v>
      </c>
      <c r="M92" s="5"/>
      <c r="N92" s="5" t="s">
        <v>42</v>
      </c>
      <c r="O92" s="5" t="s">
        <v>43</v>
      </c>
    </row>
    <row r="93" customFormat="false" ht="15" hidden="false" customHeight="false" outlineLevel="0" collapsed="false">
      <c r="A93" s="5" t="s">
        <v>341</v>
      </c>
      <c r="B93" s="5" t="s">
        <v>34</v>
      </c>
      <c r="C93" s="5" t="s">
        <v>342</v>
      </c>
      <c r="D93" s="5" t="s">
        <v>45</v>
      </c>
      <c r="E93" s="5" t="s">
        <v>343</v>
      </c>
      <c r="F93" s="5" t="s">
        <v>344</v>
      </c>
      <c r="G93" s="5" t="s">
        <v>345</v>
      </c>
      <c r="H93" s="5" t="s">
        <v>48</v>
      </c>
      <c r="I93" s="5" t="s">
        <v>41</v>
      </c>
      <c r="J93" s="5" t="s">
        <v>346</v>
      </c>
      <c r="K93" s="6" t="n">
        <f aca="false">SUMPRODUCT((Parti!$A$2:$A$3000=A93)*Parti!$C$2:$C$3000*Parti!$D$2:$D$3000*Parti!$E$2:$E$3000)</f>
        <v>400</v>
      </c>
      <c r="L93" s="6" t="n">
        <f aca="false">ROUND((K93*Legenda!$H$2/100+SUMPRODUCT((Parti!$A$2:$A$3000=A93)*Parti!$C$2:$C$3000*Parti!$D$2:$D$3000*(Parti!$F$2:$F$3000+Parti!$J$2:$J$3000)))/60,0)</f>
        <v>9</v>
      </c>
      <c r="M93" s="5"/>
      <c r="N93" s="5" t="s">
        <v>42</v>
      </c>
      <c r="O93" s="5" t="s">
        <v>43</v>
      </c>
    </row>
    <row r="94" customFormat="false" ht="15" hidden="false" customHeight="false" outlineLevel="0" collapsed="false">
      <c r="A94" s="5" t="s">
        <v>347</v>
      </c>
      <c r="B94" s="5" t="s">
        <v>34</v>
      </c>
      <c r="C94" s="5" t="s">
        <v>342</v>
      </c>
      <c r="D94" s="5" t="s">
        <v>348</v>
      </c>
      <c r="E94" s="5" t="s">
        <v>139</v>
      </c>
      <c r="F94" s="5" t="s">
        <v>349</v>
      </c>
      <c r="G94" s="5" t="s">
        <v>350</v>
      </c>
      <c r="H94" s="5" t="s">
        <v>48</v>
      </c>
      <c r="I94" s="5" t="s">
        <v>53</v>
      </c>
      <c r="J94" s="5" t="s">
        <v>346</v>
      </c>
      <c r="K94" s="6" t="n">
        <f aca="false">SUMPRODUCT((Parti!$A$2:$A$3000=A94)*Parti!$C$2:$C$3000*Parti!$D$2:$D$3000*Parti!$E$2:$E$3000)</f>
        <v>300</v>
      </c>
      <c r="L94" s="6" t="n">
        <f aca="false">ROUND((K94*Legenda!$H$2/100+SUMPRODUCT((Parti!$A$2:$A$3000=A94)*Parti!$C$2:$C$3000*Parti!$D$2:$D$3000*(Parti!$F$2:$F$3000+Parti!$J$2:$J$3000)))/60,0)</f>
        <v>9</v>
      </c>
      <c r="M94" s="5"/>
      <c r="N94" s="5" t="s">
        <v>42</v>
      </c>
      <c r="O94" s="5" t="s">
        <v>43</v>
      </c>
    </row>
    <row r="95" customFormat="false" ht="15" hidden="false" customHeight="false" outlineLevel="0" collapsed="false">
      <c r="A95" s="5" t="s">
        <v>351</v>
      </c>
      <c r="B95" s="5" t="s">
        <v>34</v>
      </c>
      <c r="C95" s="5" t="s">
        <v>342</v>
      </c>
      <c r="D95" s="5" t="s">
        <v>98</v>
      </c>
      <c r="E95" s="5" t="s">
        <v>135</v>
      </c>
      <c r="F95" s="5" t="s">
        <v>352</v>
      </c>
      <c r="G95" s="5" t="s">
        <v>353</v>
      </c>
      <c r="H95" s="5" t="s">
        <v>48</v>
      </c>
      <c r="I95" s="5" t="s">
        <v>53</v>
      </c>
      <c r="J95" s="5"/>
      <c r="K95" s="6" t="n">
        <f aca="false">SUMPRODUCT((Parti!$A$2:$A$3000=A95)*Parti!$C$2:$C$3000*Parti!$D$2:$D$3000*Parti!$E$2:$E$3000)</f>
        <v>250</v>
      </c>
      <c r="L95" s="6" t="n">
        <f aca="false">ROUND((K95*Legenda!$H$2/100+SUMPRODUCT((Parti!$A$2:$A$3000=A95)*Parti!$C$2:$C$3000*Parti!$D$2:$D$3000*(Parti!$F$2:$F$3000+Parti!$J$2:$J$3000)))/60,0)</f>
        <v>11</v>
      </c>
      <c r="M95" s="5"/>
      <c r="N95" s="5" t="s">
        <v>42</v>
      </c>
      <c r="O95" s="5" t="s">
        <v>43</v>
      </c>
    </row>
    <row r="96" customFormat="false" ht="15" hidden="false" customHeight="false" outlineLevel="0" collapsed="false">
      <c r="A96" s="5" t="s">
        <v>354</v>
      </c>
      <c r="B96" s="5" t="s">
        <v>69</v>
      </c>
      <c r="C96" s="5" t="s">
        <v>342</v>
      </c>
      <c r="D96" s="5" t="s">
        <v>45</v>
      </c>
      <c r="E96" s="5" t="s">
        <v>343</v>
      </c>
      <c r="F96" s="5" t="s">
        <v>355</v>
      </c>
      <c r="G96" s="5" t="s">
        <v>356</v>
      </c>
      <c r="H96" s="5" t="s">
        <v>115</v>
      </c>
      <c r="I96" s="5" t="s">
        <v>41</v>
      </c>
      <c r="J96" s="5" t="s">
        <v>346</v>
      </c>
      <c r="K96" s="6" t="n">
        <f aca="false">SUMPRODUCT((Parti!$A$2:$A$3000=A96)*Parti!$C$2:$C$3000*Parti!$D$2:$D$3000*Parti!$E$2:$E$3000)</f>
        <v>400</v>
      </c>
      <c r="L96" s="6" t="n">
        <f aca="false">ROUND((K96*Legenda!$H$2/100+SUMPRODUCT((Parti!$A$2:$A$3000=A96)*Parti!$C$2:$C$3000*Parti!$D$2:$D$3000*(Parti!$F$2:$F$3000+Parti!$J$2:$J$3000)))/60,0)</f>
        <v>9</v>
      </c>
      <c r="M96" s="5"/>
      <c r="N96" s="5" t="s">
        <v>42</v>
      </c>
      <c r="O96" s="5" t="s">
        <v>43</v>
      </c>
    </row>
    <row r="97" customFormat="false" ht="15" hidden="false" customHeight="false" outlineLevel="0" collapsed="false">
      <c r="A97" s="5" t="s">
        <v>357</v>
      </c>
      <c r="B97" s="5" t="s">
        <v>69</v>
      </c>
      <c r="C97" s="5" t="s">
        <v>342</v>
      </c>
      <c r="D97" s="5" t="s">
        <v>348</v>
      </c>
      <c r="E97" s="5" t="s">
        <v>139</v>
      </c>
      <c r="F97" s="5" t="s">
        <v>358</v>
      </c>
      <c r="G97" s="5" t="s">
        <v>359</v>
      </c>
      <c r="H97" s="5" t="s">
        <v>115</v>
      </c>
      <c r="I97" s="5" t="s">
        <v>53</v>
      </c>
      <c r="J97" s="5" t="s">
        <v>346</v>
      </c>
      <c r="K97" s="6" t="n">
        <f aca="false">SUMPRODUCT((Parti!$A$2:$A$3000=A97)*Parti!$C$2:$C$3000*Parti!$D$2:$D$3000*Parti!$E$2:$E$3000)</f>
        <v>300</v>
      </c>
      <c r="L97" s="6" t="n">
        <f aca="false">ROUND((K97*Legenda!$H$2/100+SUMPRODUCT((Parti!$A$2:$A$3000=A97)*Parti!$C$2:$C$3000*Parti!$D$2:$D$3000*(Parti!$F$2:$F$3000+Parti!$J$2:$J$3000)))/60,0)</f>
        <v>9</v>
      </c>
      <c r="M97" s="5"/>
      <c r="N97" s="5" t="s">
        <v>42</v>
      </c>
      <c r="O97" s="5" t="s">
        <v>43</v>
      </c>
    </row>
    <row r="98" customFormat="false" ht="15" hidden="false" customHeight="false" outlineLevel="0" collapsed="false">
      <c r="A98" s="5" t="s">
        <v>360</v>
      </c>
      <c r="B98" s="5" t="s">
        <v>69</v>
      </c>
      <c r="C98" s="5" t="s">
        <v>342</v>
      </c>
      <c r="D98" s="5" t="s">
        <v>98</v>
      </c>
      <c r="E98" s="5" t="s">
        <v>135</v>
      </c>
      <c r="F98" s="5" t="s">
        <v>361</v>
      </c>
      <c r="G98" s="5" t="s">
        <v>362</v>
      </c>
      <c r="H98" s="5" t="s">
        <v>115</v>
      </c>
      <c r="I98" s="5" t="s">
        <v>53</v>
      </c>
      <c r="J98" s="5"/>
      <c r="K98" s="6" t="n">
        <f aca="false">SUMPRODUCT((Parti!$A$2:$A$3000=A98)*Parti!$C$2:$C$3000*Parti!$D$2:$D$3000*Parti!$E$2:$E$3000)</f>
        <v>250</v>
      </c>
      <c r="L98" s="6" t="n">
        <f aca="false">ROUND((K98*Legenda!$H$2/100+SUMPRODUCT((Parti!$A$2:$A$3000=A98)*Parti!$C$2:$C$3000*Parti!$D$2:$D$3000*(Parti!$F$2:$F$3000+Parti!$J$2:$J$3000)))/60,0)</f>
        <v>11</v>
      </c>
      <c r="M98" s="5"/>
      <c r="N98" s="5" t="s">
        <v>42</v>
      </c>
      <c r="O98" s="5" t="s">
        <v>43</v>
      </c>
    </row>
    <row r="99" customFormat="false" ht="15" hidden="false" customHeight="false" outlineLevel="0" collapsed="false">
      <c r="A99" s="5" t="s">
        <v>363</v>
      </c>
      <c r="B99" s="5" t="s">
        <v>69</v>
      </c>
      <c r="C99" s="5" t="s">
        <v>342</v>
      </c>
      <c r="D99" s="5" t="s">
        <v>45</v>
      </c>
      <c r="E99" s="5" t="s">
        <v>343</v>
      </c>
      <c r="F99" s="5" t="s">
        <v>364</v>
      </c>
      <c r="G99" s="5" t="s">
        <v>365</v>
      </c>
      <c r="H99" s="5" t="s">
        <v>119</v>
      </c>
      <c r="I99" s="5" t="s">
        <v>41</v>
      </c>
      <c r="J99" s="5" t="s">
        <v>346</v>
      </c>
      <c r="K99" s="6" t="n">
        <f aca="false">SUMPRODUCT((Parti!$A$2:$A$3000=A99)*Parti!$C$2:$C$3000*Parti!$D$2:$D$3000*Parti!$E$2:$E$3000)</f>
        <v>400</v>
      </c>
      <c r="L99" s="6" t="n">
        <f aca="false">ROUND((K99*Legenda!$H$2/100+SUMPRODUCT((Parti!$A$2:$A$3000=A99)*Parti!$C$2:$C$3000*Parti!$D$2:$D$3000*(Parti!$F$2:$F$3000+Parti!$J$2:$J$3000)))/60,0)</f>
        <v>9</v>
      </c>
      <c r="M99" s="5"/>
      <c r="N99" s="5" t="s">
        <v>42</v>
      </c>
      <c r="O99" s="5" t="s">
        <v>43</v>
      </c>
    </row>
    <row r="100" customFormat="false" ht="15" hidden="false" customHeight="false" outlineLevel="0" collapsed="false">
      <c r="A100" s="5" t="s">
        <v>366</v>
      </c>
      <c r="B100" s="5" t="s">
        <v>69</v>
      </c>
      <c r="C100" s="5" t="s">
        <v>342</v>
      </c>
      <c r="D100" s="5" t="s">
        <v>348</v>
      </c>
      <c r="E100" s="5" t="s">
        <v>139</v>
      </c>
      <c r="F100" s="5" t="s">
        <v>367</v>
      </c>
      <c r="G100" s="5" t="s">
        <v>368</v>
      </c>
      <c r="H100" s="5" t="s">
        <v>119</v>
      </c>
      <c r="I100" s="5" t="s">
        <v>53</v>
      </c>
      <c r="J100" s="5" t="s">
        <v>346</v>
      </c>
      <c r="K100" s="6" t="n">
        <f aca="false">SUMPRODUCT((Parti!$A$2:$A$3000=A100)*Parti!$C$2:$C$3000*Parti!$D$2:$D$3000*Parti!$E$2:$E$3000)</f>
        <v>300</v>
      </c>
      <c r="L100" s="6" t="n">
        <f aca="false">ROUND((K100*Legenda!$H$2/100+SUMPRODUCT((Parti!$A$2:$A$3000=A100)*Parti!$C$2:$C$3000*Parti!$D$2:$D$3000*(Parti!$F$2:$F$3000+Parti!$J$2:$J$3000)))/60,0)</f>
        <v>9</v>
      </c>
      <c r="M100" s="5"/>
      <c r="N100" s="5" t="s">
        <v>42</v>
      </c>
      <c r="O100" s="5" t="s">
        <v>43</v>
      </c>
    </row>
    <row r="101" customFormat="false" ht="15" hidden="false" customHeight="false" outlineLevel="0" collapsed="false">
      <c r="A101" s="5" t="s">
        <v>369</v>
      </c>
      <c r="B101" s="5" t="s">
        <v>69</v>
      </c>
      <c r="C101" s="5" t="s">
        <v>342</v>
      </c>
      <c r="D101" s="5" t="s">
        <v>98</v>
      </c>
      <c r="E101" s="5" t="s">
        <v>135</v>
      </c>
      <c r="F101" s="5" t="s">
        <v>370</v>
      </c>
      <c r="G101" s="5" t="s">
        <v>371</v>
      </c>
      <c r="H101" s="5" t="s">
        <v>119</v>
      </c>
      <c r="I101" s="5" t="s">
        <v>53</v>
      </c>
      <c r="J101" s="5"/>
      <c r="K101" s="6" t="n">
        <f aca="false">SUMPRODUCT((Parti!$A$2:$A$3000=A101)*Parti!$C$2:$C$3000*Parti!$D$2:$D$3000*Parti!$E$2:$E$3000)</f>
        <v>250</v>
      </c>
      <c r="L101" s="6" t="n">
        <f aca="false">ROUND((K101*Legenda!$H$2/100+SUMPRODUCT((Parti!$A$2:$A$3000=A101)*Parti!$C$2:$C$3000*Parti!$D$2:$D$3000*(Parti!$F$2:$F$3000+Parti!$J$2:$J$3000)))/60,0)</f>
        <v>11</v>
      </c>
      <c r="M101" s="5"/>
      <c r="N101" s="5" t="s">
        <v>42</v>
      </c>
      <c r="O101" s="5" t="s">
        <v>43</v>
      </c>
    </row>
    <row r="102" customFormat="false" ht="15" hidden="false" customHeight="false" outlineLevel="0" collapsed="false">
      <c r="A102" s="5" t="s">
        <v>372</v>
      </c>
      <c r="B102" s="5" t="s">
        <v>69</v>
      </c>
      <c r="C102" s="5" t="s">
        <v>342</v>
      </c>
      <c r="D102" s="5" t="s">
        <v>45</v>
      </c>
      <c r="E102" s="5" t="s">
        <v>343</v>
      </c>
      <c r="F102" s="5" t="s">
        <v>373</v>
      </c>
      <c r="G102" s="5" t="s">
        <v>374</v>
      </c>
      <c r="H102" s="5" t="s">
        <v>123</v>
      </c>
      <c r="I102" s="5" t="s">
        <v>41</v>
      </c>
      <c r="J102" s="5" t="s">
        <v>346</v>
      </c>
      <c r="K102" s="6" t="n">
        <f aca="false">SUMPRODUCT((Parti!$A$2:$A$3000=A102)*Parti!$C$2:$C$3000*Parti!$D$2:$D$3000*Parti!$E$2:$E$3000)</f>
        <v>400</v>
      </c>
      <c r="L102" s="6" t="n">
        <f aca="false">ROUND((K102*Legenda!$H$2/100+SUMPRODUCT((Parti!$A$2:$A$3000=A102)*Parti!$C$2:$C$3000*Parti!$D$2:$D$3000*(Parti!$F$2:$F$3000+Parti!$J$2:$J$3000)))/60,0)</f>
        <v>9</v>
      </c>
      <c r="M102" s="5"/>
      <c r="N102" s="5" t="s">
        <v>42</v>
      </c>
      <c r="O102" s="5" t="s">
        <v>43</v>
      </c>
    </row>
    <row r="103" customFormat="false" ht="15" hidden="false" customHeight="false" outlineLevel="0" collapsed="false">
      <c r="A103" s="5" t="s">
        <v>375</v>
      </c>
      <c r="B103" s="5" t="s">
        <v>69</v>
      </c>
      <c r="C103" s="5" t="s">
        <v>342</v>
      </c>
      <c r="D103" s="5" t="s">
        <v>348</v>
      </c>
      <c r="E103" s="5" t="s">
        <v>139</v>
      </c>
      <c r="F103" s="5" t="s">
        <v>376</v>
      </c>
      <c r="G103" s="5" t="s">
        <v>377</v>
      </c>
      <c r="H103" s="5" t="s">
        <v>123</v>
      </c>
      <c r="I103" s="5" t="s">
        <v>53</v>
      </c>
      <c r="J103" s="5" t="s">
        <v>346</v>
      </c>
      <c r="K103" s="6" t="n">
        <f aca="false">SUMPRODUCT((Parti!$A$2:$A$3000=A103)*Parti!$C$2:$C$3000*Parti!$D$2:$D$3000*Parti!$E$2:$E$3000)</f>
        <v>300</v>
      </c>
      <c r="L103" s="6" t="n">
        <f aca="false">ROUND((K103*Legenda!$H$2/100+SUMPRODUCT((Parti!$A$2:$A$3000=A103)*Parti!$C$2:$C$3000*Parti!$D$2:$D$3000*(Parti!$F$2:$F$3000+Parti!$J$2:$J$3000)))/60,0)</f>
        <v>9</v>
      </c>
      <c r="M103" s="5"/>
      <c r="N103" s="5" t="s">
        <v>42</v>
      </c>
      <c r="O103" s="5" t="s">
        <v>43</v>
      </c>
    </row>
    <row r="104" customFormat="false" ht="15" hidden="false" customHeight="false" outlineLevel="0" collapsed="false">
      <c r="A104" s="5" t="s">
        <v>378</v>
      </c>
      <c r="B104" s="5" t="s">
        <v>69</v>
      </c>
      <c r="C104" s="5" t="s">
        <v>342</v>
      </c>
      <c r="D104" s="5" t="s">
        <v>98</v>
      </c>
      <c r="E104" s="5" t="s">
        <v>135</v>
      </c>
      <c r="F104" s="5" t="s">
        <v>379</v>
      </c>
      <c r="G104" s="5" t="s">
        <v>380</v>
      </c>
      <c r="H104" s="5" t="s">
        <v>123</v>
      </c>
      <c r="I104" s="5" t="s">
        <v>53</v>
      </c>
      <c r="J104" s="5"/>
      <c r="K104" s="6" t="n">
        <f aca="false">SUMPRODUCT((Parti!$A$2:$A$3000=A104)*Parti!$C$2:$C$3000*Parti!$D$2:$D$3000*Parti!$E$2:$E$3000)</f>
        <v>250</v>
      </c>
      <c r="L104" s="6" t="n">
        <f aca="false">ROUND((K104*Legenda!$H$2/100+SUMPRODUCT((Parti!$A$2:$A$3000=A104)*Parti!$C$2:$C$3000*Parti!$D$2:$D$3000*(Parti!$F$2:$F$3000+Parti!$J$2:$J$3000)))/60,0)</f>
        <v>11</v>
      </c>
      <c r="M104" s="5"/>
      <c r="N104" s="5" t="s">
        <v>42</v>
      </c>
      <c r="O104" s="5" t="s">
        <v>43</v>
      </c>
    </row>
    <row r="105" customFormat="false" ht="15" hidden="false" customHeight="false" outlineLevel="0" collapsed="false">
      <c r="A105" s="5" t="s">
        <v>381</v>
      </c>
      <c r="B105" s="5" t="s">
        <v>69</v>
      </c>
      <c r="C105" s="5" t="s">
        <v>342</v>
      </c>
      <c r="D105" s="5" t="s">
        <v>45</v>
      </c>
      <c r="E105" s="5" t="s">
        <v>37</v>
      </c>
      <c r="F105" s="5" t="s">
        <v>382</v>
      </c>
      <c r="G105" s="5" t="s">
        <v>383</v>
      </c>
      <c r="H105" s="5" t="s">
        <v>52</v>
      </c>
      <c r="I105" s="5" t="s">
        <v>41</v>
      </c>
      <c r="J105" s="5" t="s">
        <v>83</v>
      </c>
      <c r="K105" s="6" t="n">
        <f aca="false">SUMPRODUCT((Parti!$A$2:$A$3000=A105)*Parti!$C$2:$C$3000*Parti!$D$2:$D$3000*Parti!$E$2:$E$3000)</f>
        <v>300</v>
      </c>
      <c r="L105" s="6" t="n">
        <f aca="false">ROUND((K105*Legenda!$H$2/100+SUMPRODUCT((Parti!$A$2:$A$3000=A105)*Parti!$C$2:$C$3000*Parti!$D$2:$D$3000*(Parti!$F$2:$F$3000+Parti!$J$2:$J$3000)))/60,0)</f>
        <v>6</v>
      </c>
      <c r="M105" s="5"/>
      <c r="N105" s="5" t="s">
        <v>42</v>
      </c>
      <c r="O105" s="5" t="s">
        <v>43</v>
      </c>
    </row>
    <row r="106" customFormat="false" ht="15" hidden="false" customHeight="false" outlineLevel="0" collapsed="false">
      <c r="A106" s="5" t="s">
        <v>384</v>
      </c>
      <c r="B106" s="5" t="s">
        <v>69</v>
      </c>
      <c r="C106" s="5" t="s">
        <v>342</v>
      </c>
      <c r="D106" s="5" t="s">
        <v>98</v>
      </c>
      <c r="E106" s="5" t="s">
        <v>139</v>
      </c>
      <c r="F106" s="5" t="s">
        <v>385</v>
      </c>
      <c r="G106" s="5" t="s">
        <v>386</v>
      </c>
      <c r="H106" s="5" t="s">
        <v>123</v>
      </c>
      <c r="I106" s="5" t="s">
        <v>53</v>
      </c>
      <c r="J106" s="5" t="s">
        <v>83</v>
      </c>
      <c r="K106" s="6" t="n">
        <f aca="false">SUMPRODUCT((Parti!$A$2:$A$3000=A106)*Parti!$C$2:$C$3000*Parti!$D$2:$D$3000*Parti!$E$2:$E$3000)</f>
        <v>300</v>
      </c>
      <c r="L106" s="6" t="n">
        <f aca="false">ROUND((K106*Legenda!$H$2/100+SUMPRODUCT((Parti!$A$2:$A$3000=A106)*Parti!$C$2:$C$3000*Parti!$D$2:$D$3000*(Parti!$F$2:$F$3000+Parti!$J$2:$J$3000)))/60,0)</f>
        <v>9</v>
      </c>
      <c r="M106" s="5"/>
      <c r="N106" s="5" t="s">
        <v>42</v>
      </c>
      <c r="O106" s="5" t="s">
        <v>43</v>
      </c>
    </row>
    <row r="107" customFormat="false" ht="15" hidden="false" customHeight="false" outlineLevel="0" collapsed="false">
      <c r="A107" s="5" t="s">
        <v>387</v>
      </c>
      <c r="B107" s="5" t="s">
        <v>69</v>
      </c>
      <c r="C107" s="5" t="s">
        <v>342</v>
      </c>
      <c r="D107" s="5" t="s">
        <v>45</v>
      </c>
      <c r="E107" s="5" t="s">
        <v>343</v>
      </c>
      <c r="F107" s="5" t="s">
        <v>388</v>
      </c>
      <c r="G107" s="5" t="s">
        <v>389</v>
      </c>
      <c r="H107" s="5" t="s">
        <v>133</v>
      </c>
      <c r="I107" s="5" t="s">
        <v>41</v>
      </c>
      <c r="J107" s="5" t="s">
        <v>346</v>
      </c>
      <c r="K107" s="6" t="n">
        <f aca="false">SUMPRODUCT((Parti!$A$2:$A$3000=A107)*Parti!$C$2:$C$3000*Parti!$D$2:$D$3000*Parti!$E$2:$E$3000)</f>
        <v>400</v>
      </c>
      <c r="L107" s="6" t="n">
        <f aca="false">ROUND((K107*Legenda!$H$2/100+SUMPRODUCT((Parti!$A$2:$A$3000=A107)*Parti!$C$2:$C$3000*Parti!$D$2:$D$3000*(Parti!$F$2:$F$3000+Parti!$J$2:$J$3000)))/60,0)</f>
        <v>9</v>
      </c>
      <c r="M107" s="5"/>
      <c r="N107" s="5" t="s">
        <v>42</v>
      </c>
      <c r="O107" s="5" t="s">
        <v>43</v>
      </c>
    </row>
    <row r="108" customFormat="false" ht="15" hidden="false" customHeight="false" outlineLevel="0" collapsed="false">
      <c r="A108" s="5" t="s">
        <v>390</v>
      </c>
      <c r="B108" s="5" t="s">
        <v>69</v>
      </c>
      <c r="C108" s="5" t="s">
        <v>342</v>
      </c>
      <c r="D108" s="5" t="s">
        <v>88</v>
      </c>
      <c r="E108" s="5" t="s">
        <v>37</v>
      </c>
      <c r="F108" s="5" t="s">
        <v>391</v>
      </c>
      <c r="G108" s="5" t="s">
        <v>392</v>
      </c>
      <c r="H108" s="5" t="s">
        <v>133</v>
      </c>
      <c r="I108" s="5" t="s">
        <v>67</v>
      </c>
      <c r="J108" s="5" t="s">
        <v>346</v>
      </c>
      <c r="K108" s="6" t="n">
        <f aca="false">SUMPRODUCT((Parti!$A$2:$A$3000=A108)*Parti!$C$2:$C$3000*Parti!$D$2:$D$3000*Parti!$E$2:$E$3000)</f>
        <v>150</v>
      </c>
      <c r="L108" s="6" t="n">
        <f aca="false">ROUND((K108*Legenda!$H$2/100+SUMPRODUCT((Parti!$A$2:$A$3000=A108)*Parti!$C$2:$C$3000*Parti!$D$2:$D$3000*(Parti!$F$2:$F$3000+Parti!$J$2:$J$3000)))/60,0)</f>
        <v>5</v>
      </c>
      <c r="M108" s="5"/>
      <c r="N108" s="5" t="s">
        <v>42</v>
      </c>
      <c r="O108" s="5" t="s">
        <v>43</v>
      </c>
    </row>
    <row r="109" customFormat="false" ht="15" hidden="false" customHeight="false" outlineLevel="0" collapsed="false">
      <c r="A109" s="5" t="s">
        <v>393</v>
      </c>
      <c r="B109" s="5" t="s">
        <v>34</v>
      </c>
      <c r="C109" s="5" t="s">
        <v>342</v>
      </c>
      <c r="D109" s="5" t="s">
        <v>394</v>
      </c>
      <c r="E109" s="5" t="s">
        <v>139</v>
      </c>
      <c r="F109" s="5" t="s">
        <v>395</v>
      </c>
      <c r="G109" s="5" t="s">
        <v>396</v>
      </c>
      <c r="H109" s="5"/>
      <c r="I109" s="5" t="s">
        <v>53</v>
      </c>
      <c r="J109" s="5"/>
      <c r="K109" s="6" t="n">
        <f aca="false">SUMPRODUCT((Parti!$A$2:$A$3000=A109)*Parti!$C$2:$C$3000*Parti!$D$2:$D$3000*Parti!$E$2:$E$3000)</f>
        <v>0</v>
      </c>
      <c r="L109" s="6" t="n">
        <f aca="false">ROUND((K109*Legenda!$H$2/100+SUMPRODUCT((Parti!$A$2:$A$3000=A109)*Parti!$C$2:$C$3000*Parti!$D$2:$D$3000*(Parti!$F$2:$F$3000+Parti!$J$2:$J$3000)))/60,0)</f>
        <v>6</v>
      </c>
      <c r="M109" s="5" t="s">
        <v>397</v>
      </c>
      <c r="N109" s="5" t="s">
        <v>42</v>
      </c>
      <c r="O109" s="5" t="s">
        <v>43</v>
      </c>
    </row>
    <row r="110" customFormat="false" ht="15" hidden="false" customHeight="false" outlineLevel="0" collapsed="false">
      <c r="A110" s="5" t="s">
        <v>398</v>
      </c>
      <c r="B110" s="5" t="s">
        <v>34</v>
      </c>
      <c r="C110" s="5" t="s">
        <v>399</v>
      </c>
      <c r="D110" s="5" t="s">
        <v>45</v>
      </c>
      <c r="E110" s="5" t="s">
        <v>343</v>
      </c>
      <c r="F110" s="5" t="s">
        <v>400</v>
      </c>
      <c r="G110" s="5" t="s">
        <v>401</v>
      </c>
      <c r="H110" s="5" t="s">
        <v>48</v>
      </c>
      <c r="I110" s="5" t="s">
        <v>53</v>
      </c>
      <c r="J110" s="5" t="s">
        <v>264</v>
      </c>
      <c r="K110" s="6" t="n">
        <f aca="false">SUMPRODUCT((Parti!$A$2:$A$3000=A110)*Parti!$C$2:$C$3000*Parti!$D$2:$D$3000*Parti!$E$2:$E$3000)</f>
        <v>800</v>
      </c>
      <c r="L110" s="6" t="n">
        <f aca="false">ROUND((K110*Legenda!$H$2/100+SUMPRODUCT((Parti!$A$2:$A$3000=A110)*Parti!$C$2:$C$3000*Parti!$D$2:$D$3000*(Parti!$F$2:$F$3000+Parti!$J$2:$J$3000)))/60,0)</f>
        <v>16</v>
      </c>
      <c r="M110" s="5"/>
      <c r="N110" s="5" t="s">
        <v>42</v>
      </c>
      <c r="O110" s="5" t="s">
        <v>43</v>
      </c>
    </row>
    <row r="111" customFormat="false" ht="15" hidden="false" customHeight="false" outlineLevel="0" collapsed="false">
      <c r="A111" s="5" t="s">
        <v>402</v>
      </c>
      <c r="B111" s="5" t="s">
        <v>34</v>
      </c>
      <c r="C111" s="5" t="s">
        <v>399</v>
      </c>
      <c r="D111" s="5" t="s">
        <v>348</v>
      </c>
      <c r="E111" s="5" t="s">
        <v>108</v>
      </c>
      <c r="F111" s="5" t="s">
        <v>403</v>
      </c>
      <c r="G111" s="5" t="s">
        <v>404</v>
      </c>
      <c r="H111" s="5" t="s">
        <v>48</v>
      </c>
      <c r="I111" s="5" t="s">
        <v>53</v>
      </c>
      <c r="J111" s="5" t="s">
        <v>405</v>
      </c>
      <c r="K111" s="6" t="n">
        <f aca="false">SUMPRODUCT((Parti!$A$2:$A$3000=A111)*Parti!$C$2:$C$3000*Parti!$D$2:$D$3000*Parti!$E$2:$E$3000)</f>
        <v>600</v>
      </c>
      <c r="L111" s="6" t="n">
        <f aca="false">ROUND((K111*Legenda!$H$2/100+SUMPRODUCT((Parti!$A$2:$A$3000=A111)*Parti!$C$2:$C$3000*Parti!$D$2:$D$3000*(Parti!$F$2:$F$3000+Parti!$J$2:$J$3000)))/60,0)</f>
        <v>13</v>
      </c>
      <c r="M111" s="5"/>
      <c r="N111" s="5" t="s">
        <v>42</v>
      </c>
      <c r="O111" s="5" t="s">
        <v>43</v>
      </c>
    </row>
    <row r="112" customFormat="false" ht="15" hidden="false" customHeight="false" outlineLevel="0" collapsed="false">
      <c r="A112" s="5" t="s">
        <v>406</v>
      </c>
      <c r="B112" s="5" t="s">
        <v>69</v>
      </c>
      <c r="C112" s="5" t="s">
        <v>399</v>
      </c>
      <c r="D112" s="5" t="s">
        <v>88</v>
      </c>
      <c r="E112" s="5" t="s">
        <v>343</v>
      </c>
      <c r="F112" s="5" t="s">
        <v>407</v>
      </c>
      <c r="G112" s="5" t="s">
        <v>408</v>
      </c>
      <c r="H112" s="5" t="s">
        <v>119</v>
      </c>
      <c r="I112" s="5" t="s">
        <v>41</v>
      </c>
      <c r="J112" s="5" t="s">
        <v>264</v>
      </c>
      <c r="K112" s="6" t="n">
        <f aca="false">SUMPRODUCT((Parti!$A$2:$A$3000=A112)*Parti!$C$2:$C$3000*Parti!$D$2:$D$3000*Parti!$E$2:$E$3000)</f>
        <v>400</v>
      </c>
      <c r="L112" s="6" t="n">
        <f aca="false">ROUND((K112*Legenda!$H$2/100+SUMPRODUCT((Parti!$A$2:$A$3000=A112)*Parti!$C$2:$C$3000*Parti!$D$2:$D$3000*(Parti!$F$2:$F$3000+Parti!$J$2:$J$3000)))/60,0)</f>
        <v>9</v>
      </c>
      <c r="M112" s="5"/>
      <c r="N112" s="5" t="s">
        <v>42</v>
      </c>
      <c r="O112" s="5" t="s">
        <v>43</v>
      </c>
    </row>
    <row r="113" customFormat="false" ht="15" hidden="false" customHeight="false" outlineLevel="0" collapsed="false">
      <c r="A113" s="5" t="s">
        <v>409</v>
      </c>
      <c r="B113" s="5" t="s">
        <v>34</v>
      </c>
      <c r="C113" s="5" t="s">
        <v>399</v>
      </c>
      <c r="D113" s="5" t="s">
        <v>45</v>
      </c>
      <c r="E113" s="5" t="s">
        <v>343</v>
      </c>
      <c r="F113" s="5" t="s">
        <v>410</v>
      </c>
      <c r="G113" s="5" t="s">
        <v>411</v>
      </c>
      <c r="H113" s="5" t="s">
        <v>48</v>
      </c>
      <c r="I113" s="5" t="s">
        <v>41</v>
      </c>
      <c r="J113" s="5" t="s">
        <v>264</v>
      </c>
      <c r="K113" s="6" t="n">
        <f aca="false">SUMPRODUCT((Parti!$A$2:$A$3000=A113)*Parti!$C$2:$C$3000*Parti!$D$2:$D$3000*Parti!$E$2:$E$3000)</f>
        <v>400</v>
      </c>
      <c r="L113" s="6" t="n">
        <f aca="false">ROUND((K113*Legenda!$H$2/100+SUMPRODUCT((Parti!$A$2:$A$3000=A113)*Parti!$C$2:$C$3000*Parti!$D$2:$D$3000*(Parti!$F$2:$F$3000+Parti!$J$2:$J$3000)))/60,0)</f>
        <v>7</v>
      </c>
      <c r="M113" s="5"/>
      <c r="N113" s="5" t="s">
        <v>42</v>
      </c>
      <c r="O113" s="5" t="s">
        <v>43</v>
      </c>
    </row>
    <row r="114" customFormat="false" ht="15" hidden="false" customHeight="false" outlineLevel="0" collapsed="false">
      <c r="A114" s="5" t="s">
        <v>412</v>
      </c>
      <c r="B114" s="5" t="s">
        <v>34</v>
      </c>
      <c r="C114" s="5" t="s">
        <v>399</v>
      </c>
      <c r="D114" s="5" t="s">
        <v>394</v>
      </c>
      <c r="E114" s="5" t="s">
        <v>343</v>
      </c>
      <c r="F114" s="5" t="s">
        <v>413</v>
      </c>
      <c r="G114" s="5" t="s">
        <v>414</v>
      </c>
      <c r="H114" s="5" t="s">
        <v>48</v>
      </c>
      <c r="I114" s="5" t="s">
        <v>82</v>
      </c>
      <c r="J114" s="5" t="s">
        <v>405</v>
      </c>
      <c r="K114" s="6" t="n">
        <f aca="false">SUMPRODUCT((Parti!$A$2:$A$3000=A114)*Parti!$C$2:$C$3000*Parti!$D$2:$D$3000*Parti!$E$2:$E$3000)</f>
        <v>900</v>
      </c>
      <c r="L114" s="6" t="n">
        <f aca="false">ROUND((K114*Legenda!$H$2/100+SUMPRODUCT((Parti!$A$2:$A$3000=A114)*Parti!$C$2:$C$3000*Parti!$D$2:$D$3000*(Parti!$F$2:$F$3000+Parti!$J$2:$J$3000)))/60,0)</f>
        <v>18</v>
      </c>
      <c r="M114" s="5"/>
      <c r="N114" s="5" t="s">
        <v>42</v>
      </c>
      <c r="O114" s="5" t="s">
        <v>43</v>
      </c>
    </row>
    <row r="115" customFormat="false" ht="15" hidden="false" customHeight="false" outlineLevel="0" collapsed="false">
      <c r="A115" s="5" t="s">
        <v>415</v>
      </c>
      <c r="B115" s="5" t="s">
        <v>69</v>
      </c>
      <c r="C115" s="5" t="s">
        <v>399</v>
      </c>
      <c r="D115" s="5" t="s">
        <v>45</v>
      </c>
      <c r="E115" s="5" t="s">
        <v>343</v>
      </c>
      <c r="F115" s="5" t="s">
        <v>416</v>
      </c>
      <c r="G115" s="5" t="s">
        <v>417</v>
      </c>
      <c r="H115" s="5" t="s">
        <v>115</v>
      </c>
      <c r="I115" s="5" t="s">
        <v>41</v>
      </c>
      <c r="J115" s="5" t="s">
        <v>264</v>
      </c>
      <c r="K115" s="6" t="n">
        <f aca="false">SUMPRODUCT((Parti!$A$2:$A$3000=A115)*Parti!$C$2:$C$3000*Parti!$D$2:$D$3000*Parti!$E$2:$E$3000)</f>
        <v>500</v>
      </c>
      <c r="L115" s="6" t="n">
        <f aca="false">ROUND((K115*Legenda!$H$2/100+SUMPRODUCT((Parti!$A$2:$A$3000=A115)*Parti!$C$2:$C$3000*Parti!$D$2:$D$3000*(Parti!$F$2:$F$3000+Parti!$J$2:$J$3000)))/60,0)</f>
        <v>12</v>
      </c>
      <c r="M115" s="5"/>
      <c r="N115" s="5" t="s">
        <v>42</v>
      </c>
      <c r="O115" s="5" t="s">
        <v>43</v>
      </c>
    </row>
    <row r="116" customFormat="false" ht="15" hidden="false" customHeight="false" outlineLevel="0" collapsed="false">
      <c r="A116" s="5" t="s">
        <v>418</v>
      </c>
      <c r="B116" s="5" t="s">
        <v>34</v>
      </c>
      <c r="C116" s="5" t="s">
        <v>399</v>
      </c>
      <c r="D116" s="5" t="s">
        <v>394</v>
      </c>
      <c r="E116" s="5" t="s">
        <v>108</v>
      </c>
      <c r="F116" s="5" t="s">
        <v>419</v>
      </c>
      <c r="G116" s="5" t="s">
        <v>420</v>
      </c>
      <c r="H116" s="5" t="s">
        <v>48</v>
      </c>
      <c r="I116" s="5" t="s">
        <v>53</v>
      </c>
      <c r="J116" s="5" t="s">
        <v>421</v>
      </c>
      <c r="K116" s="6" t="n">
        <f aca="false">SUMPRODUCT((Parti!$A$2:$A$3000=A116)*Parti!$C$2:$C$3000*Parti!$D$2:$D$3000*Parti!$E$2:$E$3000)</f>
        <v>400</v>
      </c>
      <c r="L116" s="6" t="n">
        <f aca="false">ROUND((K116*Legenda!$H$2/100+SUMPRODUCT((Parti!$A$2:$A$3000=A116)*Parti!$C$2:$C$3000*Parti!$D$2:$D$3000*(Parti!$F$2:$F$3000+Parti!$J$2:$J$3000)))/60,0)</f>
        <v>11</v>
      </c>
      <c r="M116" s="5"/>
      <c r="N116" s="5" t="s">
        <v>42</v>
      </c>
      <c r="O116" s="5" t="s">
        <v>43</v>
      </c>
    </row>
    <row r="117" customFormat="false" ht="15" hidden="false" customHeight="false" outlineLevel="0" collapsed="false">
      <c r="A117" s="5" t="s">
        <v>422</v>
      </c>
      <c r="B117" s="5" t="s">
        <v>34</v>
      </c>
      <c r="C117" s="5" t="s">
        <v>399</v>
      </c>
      <c r="D117" s="5" t="s">
        <v>394</v>
      </c>
      <c r="E117" s="5" t="s">
        <v>423</v>
      </c>
      <c r="F117" s="5" t="s">
        <v>424</v>
      </c>
      <c r="G117" s="5" t="s">
        <v>425</v>
      </c>
      <c r="H117" s="5" t="s">
        <v>133</v>
      </c>
      <c r="I117" s="5" t="s">
        <v>53</v>
      </c>
      <c r="J117" s="5" t="s">
        <v>426</v>
      </c>
      <c r="K117" s="6" t="n">
        <f aca="false">SUMPRODUCT((Parti!$A$2:$A$3000=A117)*Parti!$C$2:$C$3000*Parti!$D$2:$D$3000*Parti!$E$2:$E$3000)</f>
        <v>150</v>
      </c>
      <c r="L117" s="6" t="n">
        <f aca="false">ROUND((K117*Legenda!$H$2/100+SUMPRODUCT((Parti!$A$2:$A$3000=A117)*Parti!$C$2:$C$3000*Parti!$D$2:$D$3000*(Parti!$F$2:$F$3000+Parti!$J$2:$J$3000)))/60,0)</f>
        <v>9</v>
      </c>
      <c r="M117" s="5"/>
      <c r="N117" s="5" t="s">
        <v>42</v>
      </c>
      <c r="O117" s="5" t="s">
        <v>43</v>
      </c>
    </row>
    <row r="118" customFormat="false" ht="15" hidden="false" customHeight="false" outlineLevel="0" collapsed="false">
      <c r="A118" s="5" t="s">
        <v>427</v>
      </c>
      <c r="B118" s="5" t="s">
        <v>34</v>
      </c>
      <c r="C118" s="5" t="s">
        <v>428</v>
      </c>
      <c r="D118" s="5" t="s">
        <v>45</v>
      </c>
      <c r="E118" s="5" t="s">
        <v>343</v>
      </c>
      <c r="F118" s="5" t="s">
        <v>429</v>
      </c>
      <c r="G118" s="5" t="s">
        <v>430</v>
      </c>
      <c r="H118" s="5" t="s">
        <v>48</v>
      </c>
      <c r="I118" s="5" t="s">
        <v>41</v>
      </c>
      <c r="J118" s="5"/>
      <c r="K118" s="6" t="n">
        <f aca="false">SUMPRODUCT((Parti!$A$2:$A$3000=A118)*Parti!$C$2:$C$3000*Parti!$D$2:$D$3000*Parti!$E$2:$E$3000)</f>
        <v>1200</v>
      </c>
      <c r="L118" s="6" t="n">
        <f aca="false">ROUND((K118*Legenda!$H$2/100+SUMPRODUCT((Parti!$A$2:$A$3000=A118)*Parti!$C$2:$C$3000*Parti!$D$2:$D$3000*(Parti!$F$2:$F$3000+Parti!$J$2:$J$3000)))/60,0)</f>
        <v>24</v>
      </c>
      <c r="M118" s="5"/>
      <c r="N118" s="5" t="s">
        <v>42</v>
      </c>
      <c r="O118" s="5" t="s">
        <v>43</v>
      </c>
    </row>
    <row r="119" customFormat="false" ht="15" hidden="false" customHeight="false" outlineLevel="0" collapsed="false">
      <c r="A119" s="5" t="s">
        <v>431</v>
      </c>
      <c r="B119" s="5" t="s">
        <v>69</v>
      </c>
      <c r="C119" s="5" t="s">
        <v>428</v>
      </c>
      <c r="D119" s="5" t="s">
        <v>45</v>
      </c>
      <c r="E119" s="5" t="s">
        <v>343</v>
      </c>
      <c r="F119" s="5" t="s">
        <v>432</v>
      </c>
      <c r="G119" s="5" t="s">
        <v>433</v>
      </c>
      <c r="H119" s="5" t="s">
        <v>115</v>
      </c>
      <c r="I119" s="5" t="s">
        <v>41</v>
      </c>
      <c r="J119" s="5"/>
      <c r="K119" s="6" t="n">
        <f aca="false">SUMPRODUCT((Parti!$A$2:$A$3000=A119)*Parti!$C$2:$C$3000*Parti!$D$2:$D$3000*Parti!$E$2:$E$3000)</f>
        <v>1200</v>
      </c>
      <c r="L119" s="6" t="n">
        <f aca="false">ROUND((K119*Legenda!$H$2/100+SUMPRODUCT((Parti!$A$2:$A$3000=A119)*Parti!$C$2:$C$3000*Parti!$D$2:$D$3000*(Parti!$F$2:$F$3000+Parti!$J$2:$J$3000)))/60,0)</f>
        <v>24</v>
      </c>
      <c r="M119" s="5"/>
      <c r="N119" s="5" t="s">
        <v>42</v>
      </c>
      <c r="O119" s="5" t="s">
        <v>43</v>
      </c>
    </row>
    <row r="120" customFormat="false" ht="15" hidden="false" customHeight="false" outlineLevel="0" collapsed="false">
      <c r="A120" s="5" t="s">
        <v>434</v>
      </c>
      <c r="B120" s="5" t="s">
        <v>69</v>
      </c>
      <c r="C120" s="5" t="s">
        <v>428</v>
      </c>
      <c r="D120" s="5" t="s">
        <v>45</v>
      </c>
      <c r="E120" s="5" t="s">
        <v>343</v>
      </c>
      <c r="F120" s="5" t="s">
        <v>435</v>
      </c>
      <c r="G120" s="5" t="s">
        <v>436</v>
      </c>
      <c r="H120" s="5" t="s">
        <v>119</v>
      </c>
      <c r="I120" s="5" t="s">
        <v>41</v>
      </c>
      <c r="J120" s="5"/>
      <c r="K120" s="6" t="n">
        <f aca="false">SUMPRODUCT((Parti!$A$2:$A$3000=A120)*Parti!$C$2:$C$3000*Parti!$D$2:$D$3000*Parti!$E$2:$E$3000)</f>
        <v>1200</v>
      </c>
      <c r="L120" s="6" t="n">
        <f aca="false">ROUND((K120*Legenda!$H$2/100+SUMPRODUCT((Parti!$A$2:$A$3000=A120)*Parti!$C$2:$C$3000*Parti!$D$2:$D$3000*(Parti!$F$2:$F$3000+Parti!$J$2:$J$3000)))/60,0)</f>
        <v>24</v>
      </c>
      <c r="M120" s="5"/>
      <c r="N120" s="5" t="s">
        <v>42</v>
      </c>
      <c r="O120" s="5" t="s">
        <v>43</v>
      </c>
    </row>
    <row r="121" customFormat="false" ht="15" hidden="false" customHeight="false" outlineLevel="0" collapsed="false">
      <c r="A121" s="5" t="s">
        <v>437</v>
      </c>
      <c r="B121" s="5" t="s">
        <v>69</v>
      </c>
      <c r="C121" s="5" t="s">
        <v>428</v>
      </c>
      <c r="D121" s="5" t="s">
        <v>45</v>
      </c>
      <c r="E121" s="5" t="s">
        <v>343</v>
      </c>
      <c r="F121" s="5" t="s">
        <v>438</v>
      </c>
      <c r="G121" s="5" t="s">
        <v>439</v>
      </c>
      <c r="H121" s="5" t="s">
        <v>123</v>
      </c>
      <c r="I121" s="5" t="s">
        <v>41</v>
      </c>
      <c r="J121" s="5"/>
      <c r="K121" s="6" t="n">
        <f aca="false">SUMPRODUCT((Parti!$A$2:$A$3000=A121)*Parti!$C$2:$C$3000*Parti!$D$2:$D$3000*Parti!$E$2:$E$3000)</f>
        <v>600</v>
      </c>
      <c r="L121" s="6" t="n">
        <f aca="false">ROUND((K121*Legenda!$H$2/100+SUMPRODUCT((Parti!$A$2:$A$3000=A121)*Parti!$C$2:$C$3000*Parti!$D$2:$D$3000*(Parti!$F$2:$F$3000+Parti!$J$2:$J$3000)))/60,0)</f>
        <v>13</v>
      </c>
      <c r="M121" s="5"/>
      <c r="N121" s="5" t="s">
        <v>42</v>
      </c>
      <c r="O121" s="5" t="s">
        <v>43</v>
      </c>
    </row>
    <row r="122" customFormat="false" ht="15" hidden="false" customHeight="false" outlineLevel="0" collapsed="false">
      <c r="A122" s="5" t="s">
        <v>440</v>
      </c>
      <c r="B122" s="5" t="s">
        <v>34</v>
      </c>
      <c r="C122" s="5" t="s">
        <v>428</v>
      </c>
      <c r="D122" s="5" t="s">
        <v>45</v>
      </c>
      <c r="E122" s="5" t="s">
        <v>343</v>
      </c>
      <c r="F122" s="5" t="s">
        <v>441</v>
      </c>
      <c r="G122" s="5" t="s">
        <v>442</v>
      </c>
      <c r="H122" s="5" t="s">
        <v>52</v>
      </c>
      <c r="I122" s="5" t="s">
        <v>41</v>
      </c>
      <c r="J122" s="5"/>
      <c r="K122" s="6" t="n">
        <f aca="false">SUMPRODUCT((Parti!$A$2:$A$3000=A122)*Parti!$C$2:$C$3000*Parti!$D$2:$D$3000*Parti!$E$2:$E$3000)</f>
        <v>1200</v>
      </c>
      <c r="L122" s="6" t="n">
        <f aca="false">ROUND((K122*Legenda!$H$2/100+SUMPRODUCT((Parti!$A$2:$A$3000=A122)*Parti!$C$2:$C$3000*Parti!$D$2:$D$3000*(Parti!$F$2:$F$3000+Parti!$J$2:$J$3000)))/60,0)</f>
        <v>24</v>
      </c>
      <c r="M122" s="5"/>
      <c r="N122" s="5" t="s">
        <v>42</v>
      </c>
      <c r="O122" s="5" t="s">
        <v>43</v>
      </c>
    </row>
    <row r="123" customFormat="false" ht="15" hidden="false" customHeight="false" outlineLevel="0" collapsed="false">
      <c r="A123" s="5" t="s">
        <v>443</v>
      </c>
      <c r="B123" s="5" t="s">
        <v>34</v>
      </c>
      <c r="C123" s="5" t="s">
        <v>428</v>
      </c>
      <c r="D123" s="5" t="s">
        <v>45</v>
      </c>
      <c r="E123" s="5" t="s">
        <v>343</v>
      </c>
      <c r="F123" s="5" t="s">
        <v>444</v>
      </c>
      <c r="G123" s="5" t="s">
        <v>445</v>
      </c>
      <c r="H123" s="5" t="s">
        <v>48</v>
      </c>
      <c r="I123" s="5" t="s">
        <v>41</v>
      </c>
      <c r="J123" s="5"/>
      <c r="K123" s="6" t="n">
        <f aca="false">SUMPRODUCT((Parti!$A$2:$A$3000=A123)*Parti!$C$2:$C$3000*Parti!$D$2:$D$3000*Parti!$E$2:$E$3000)</f>
        <v>1600</v>
      </c>
      <c r="L123" s="6" t="n">
        <f aca="false">ROUND((K123*Legenda!$H$2/100+SUMPRODUCT((Parti!$A$2:$A$3000=A123)*Parti!$C$2:$C$3000*Parti!$D$2:$D$3000*(Parti!$F$2:$F$3000+Parti!$J$2:$J$3000)))/60,0)</f>
        <v>32</v>
      </c>
      <c r="M123" s="5"/>
      <c r="N123" s="5" t="s">
        <v>42</v>
      </c>
      <c r="O123" s="5" t="s">
        <v>43</v>
      </c>
    </row>
    <row r="124" customFormat="false" ht="15" hidden="false" customHeight="false" outlineLevel="0" collapsed="false">
      <c r="A124" s="5" t="s">
        <v>446</v>
      </c>
      <c r="B124" s="5" t="s">
        <v>69</v>
      </c>
      <c r="C124" s="5" t="s">
        <v>428</v>
      </c>
      <c r="D124" s="5" t="s">
        <v>45</v>
      </c>
      <c r="E124" s="5" t="s">
        <v>343</v>
      </c>
      <c r="F124" s="5" t="s">
        <v>447</v>
      </c>
      <c r="G124" s="5" t="s">
        <v>448</v>
      </c>
      <c r="H124" s="5" t="s">
        <v>115</v>
      </c>
      <c r="I124" s="5" t="s">
        <v>41</v>
      </c>
      <c r="J124" s="5"/>
      <c r="K124" s="6" t="n">
        <f aca="false">SUMPRODUCT((Parti!$A$2:$A$3000=A124)*Parti!$C$2:$C$3000*Parti!$D$2:$D$3000*Parti!$E$2:$E$3000)</f>
        <v>1600</v>
      </c>
      <c r="L124" s="6" t="n">
        <f aca="false">ROUND((K124*Legenda!$H$2/100+SUMPRODUCT((Parti!$A$2:$A$3000=A124)*Parti!$C$2:$C$3000*Parti!$D$2:$D$3000*(Parti!$F$2:$F$3000+Parti!$J$2:$J$3000)))/60,0)</f>
        <v>32</v>
      </c>
      <c r="M124" s="5"/>
      <c r="N124" s="5" t="s">
        <v>42</v>
      </c>
      <c r="O124" s="5" t="s">
        <v>43</v>
      </c>
    </row>
    <row r="125" customFormat="false" ht="15" hidden="false" customHeight="false" outlineLevel="0" collapsed="false">
      <c r="A125" s="5" t="s">
        <v>449</v>
      </c>
      <c r="B125" s="5" t="s">
        <v>69</v>
      </c>
      <c r="C125" s="5" t="s">
        <v>428</v>
      </c>
      <c r="D125" s="5" t="s">
        <v>45</v>
      </c>
      <c r="E125" s="5" t="s">
        <v>343</v>
      </c>
      <c r="F125" s="5" t="s">
        <v>450</v>
      </c>
      <c r="G125" s="5" t="s">
        <v>451</v>
      </c>
      <c r="H125" s="5" t="s">
        <v>119</v>
      </c>
      <c r="I125" s="5" t="s">
        <v>41</v>
      </c>
      <c r="J125" s="5"/>
      <c r="K125" s="6" t="n">
        <f aca="false">SUMPRODUCT((Parti!$A$2:$A$3000=A125)*Parti!$C$2:$C$3000*Parti!$D$2:$D$3000*Parti!$E$2:$E$3000)</f>
        <v>1600</v>
      </c>
      <c r="L125" s="6" t="n">
        <f aca="false">ROUND((K125*Legenda!$H$2/100+SUMPRODUCT((Parti!$A$2:$A$3000=A125)*Parti!$C$2:$C$3000*Parti!$D$2:$D$3000*(Parti!$F$2:$F$3000+Parti!$J$2:$J$3000)))/60,0)</f>
        <v>32</v>
      </c>
      <c r="M125" s="5"/>
      <c r="N125" s="5" t="s">
        <v>42</v>
      </c>
      <c r="O125" s="5" t="s">
        <v>43</v>
      </c>
    </row>
    <row r="126" customFormat="false" ht="15" hidden="false" customHeight="false" outlineLevel="0" collapsed="false">
      <c r="A126" s="5" t="s">
        <v>452</v>
      </c>
      <c r="B126" s="5" t="s">
        <v>69</v>
      </c>
      <c r="C126" s="5" t="s">
        <v>428</v>
      </c>
      <c r="D126" s="5" t="s">
        <v>45</v>
      </c>
      <c r="E126" s="5" t="s">
        <v>343</v>
      </c>
      <c r="F126" s="5" t="s">
        <v>453</v>
      </c>
      <c r="G126" s="5" t="s">
        <v>454</v>
      </c>
      <c r="H126" s="5" t="s">
        <v>123</v>
      </c>
      <c r="I126" s="5" t="s">
        <v>41</v>
      </c>
      <c r="J126" s="5"/>
      <c r="K126" s="6" t="n">
        <f aca="false">SUMPRODUCT((Parti!$A$2:$A$3000=A126)*Parti!$C$2:$C$3000*Parti!$D$2:$D$3000*Parti!$E$2:$E$3000)</f>
        <v>800</v>
      </c>
      <c r="L126" s="6" t="n">
        <f aca="false">ROUND((K126*Legenda!$H$2/100+SUMPRODUCT((Parti!$A$2:$A$3000=A126)*Parti!$C$2:$C$3000*Parti!$D$2:$D$3000*(Parti!$F$2:$F$3000+Parti!$J$2:$J$3000)))/60,0)</f>
        <v>17</v>
      </c>
      <c r="M126" s="5"/>
      <c r="N126" s="5" t="s">
        <v>42</v>
      </c>
      <c r="O126" s="5" t="s">
        <v>43</v>
      </c>
    </row>
    <row r="127" customFormat="false" ht="15" hidden="false" customHeight="false" outlineLevel="0" collapsed="false">
      <c r="A127" s="5" t="s">
        <v>455</v>
      </c>
      <c r="B127" s="5" t="s">
        <v>34</v>
      </c>
      <c r="C127" s="5" t="s">
        <v>428</v>
      </c>
      <c r="D127" s="5" t="s">
        <v>45</v>
      </c>
      <c r="E127" s="5" t="s">
        <v>343</v>
      </c>
      <c r="F127" s="5" t="s">
        <v>456</v>
      </c>
      <c r="G127" s="5" t="s">
        <v>457</v>
      </c>
      <c r="H127" s="5" t="s">
        <v>52</v>
      </c>
      <c r="I127" s="5" t="s">
        <v>41</v>
      </c>
      <c r="J127" s="5"/>
      <c r="K127" s="6" t="n">
        <f aca="false">SUMPRODUCT((Parti!$A$2:$A$3000=A127)*Parti!$C$2:$C$3000*Parti!$D$2:$D$3000*Parti!$E$2:$E$3000)</f>
        <v>1600</v>
      </c>
      <c r="L127" s="6" t="n">
        <f aca="false">ROUND((K127*Legenda!$H$2/100+SUMPRODUCT((Parti!$A$2:$A$3000=A127)*Parti!$C$2:$C$3000*Parti!$D$2:$D$3000*(Parti!$F$2:$F$3000+Parti!$J$2:$J$3000)))/60,0)</f>
        <v>32</v>
      </c>
      <c r="M127" s="5"/>
      <c r="N127" s="5" t="s">
        <v>42</v>
      </c>
      <c r="O127" s="5" t="s">
        <v>43</v>
      </c>
    </row>
    <row r="128" customFormat="false" ht="15" hidden="false" customHeight="false" outlineLevel="0" collapsed="false">
      <c r="A128" s="5" t="s">
        <v>458</v>
      </c>
      <c r="B128" s="5" t="s">
        <v>34</v>
      </c>
      <c r="C128" s="5" t="s">
        <v>428</v>
      </c>
      <c r="D128" s="5" t="s">
        <v>45</v>
      </c>
      <c r="E128" s="5" t="s">
        <v>343</v>
      </c>
      <c r="F128" s="5" t="s">
        <v>459</v>
      </c>
      <c r="G128" s="5" t="s">
        <v>460</v>
      </c>
      <c r="H128" s="5" t="s">
        <v>48</v>
      </c>
      <c r="I128" s="5" t="s">
        <v>41</v>
      </c>
      <c r="J128" s="5"/>
      <c r="K128" s="6" t="n">
        <f aca="false">SUMPRODUCT((Parti!$A$2:$A$3000=A128)*Parti!$C$2:$C$3000*Parti!$D$2:$D$3000*Parti!$E$2:$E$3000)</f>
        <v>1000</v>
      </c>
      <c r="L128" s="6" t="n">
        <f aca="false">ROUND((K128*Legenda!$H$2/100+SUMPRODUCT((Parti!$A$2:$A$3000=A128)*Parti!$C$2:$C$3000*Parti!$D$2:$D$3000*(Parti!$F$2:$F$3000+Parti!$J$2:$J$3000)))/60,0)</f>
        <v>21</v>
      </c>
      <c r="M128" s="5"/>
      <c r="N128" s="5" t="s">
        <v>42</v>
      </c>
      <c r="O128" s="5" t="s">
        <v>43</v>
      </c>
    </row>
    <row r="129" customFormat="false" ht="15" hidden="false" customHeight="false" outlineLevel="0" collapsed="false">
      <c r="A129" s="5" t="s">
        <v>461</v>
      </c>
      <c r="B129" s="5" t="s">
        <v>69</v>
      </c>
      <c r="C129" s="5" t="s">
        <v>428</v>
      </c>
      <c r="D129" s="5" t="s">
        <v>45</v>
      </c>
      <c r="E129" s="5" t="s">
        <v>343</v>
      </c>
      <c r="F129" s="5" t="s">
        <v>462</v>
      </c>
      <c r="G129" s="5" t="s">
        <v>463</v>
      </c>
      <c r="H129" s="5" t="s">
        <v>115</v>
      </c>
      <c r="I129" s="5" t="s">
        <v>41</v>
      </c>
      <c r="J129" s="5"/>
      <c r="K129" s="6" t="n">
        <f aca="false">SUMPRODUCT((Parti!$A$2:$A$3000=A129)*Parti!$C$2:$C$3000*Parti!$D$2:$D$3000*Parti!$E$2:$E$3000)</f>
        <v>1000</v>
      </c>
      <c r="L129" s="6" t="n">
        <f aca="false">ROUND((K129*Legenda!$H$2/100+SUMPRODUCT((Parti!$A$2:$A$3000=A129)*Parti!$C$2:$C$3000*Parti!$D$2:$D$3000*(Parti!$F$2:$F$3000+Parti!$J$2:$J$3000)))/60,0)</f>
        <v>21</v>
      </c>
      <c r="M129" s="5"/>
      <c r="N129" s="5" t="s">
        <v>42</v>
      </c>
      <c r="O129" s="5" t="s">
        <v>43</v>
      </c>
    </row>
    <row r="130" customFormat="false" ht="15" hidden="false" customHeight="false" outlineLevel="0" collapsed="false">
      <c r="A130" s="5" t="s">
        <v>464</v>
      </c>
      <c r="B130" s="5" t="s">
        <v>69</v>
      </c>
      <c r="C130" s="5" t="s">
        <v>428</v>
      </c>
      <c r="D130" s="5" t="s">
        <v>45</v>
      </c>
      <c r="E130" s="5" t="s">
        <v>343</v>
      </c>
      <c r="F130" s="5" t="s">
        <v>465</v>
      </c>
      <c r="G130" s="5" t="s">
        <v>466</v>
      </c>
      <c r="H130" s="5" t="s">
        <v>119</v>
      </c>
      <c r="I130" s="5" t="s">
        <v>41</v>
      </c>
      <c r="J130" s="5"/>
      <c r="K130" s="6" t="n">
        <f aca="false">SUMPRODUCT((Parti!$A$2:$A$3000=A130)*Parti!$C$2:$C$3000*Parti!$D$2:$D$3000*Parti!$E$2:$E$3000)</f>
        <v>1000</v>
      </c>
      <c r="L130" s="6" t="n">
        <f aca="false">ROUND((K130*Legenda!$H$2/100+SUMPRODUCT((Parti!$A$2:$A$3000=A130)*Parti!$C$2:$C$3000*Parti!$D$2:$D$3000*(Parti!$F$2:$F$3000+Parti!$J$2:$J$3000)))/60,0)</f>
        <v>21</v>
      </c>
      <c r="M130" s="5"/>
      <c r="N130" s="5" t="s">
        <v>42</v>
      </c>
      <c r="O130" s="5" t="s">
        <v>43</v>
      </c>
    </row>
    <row r="131" customFormat="false" ht="15" hidden="false" customHeight="false" outlineLevel="0" collapsed="false">
      <c r="A131" s="5" t="s">
        <v>467</v>
      </c>
      <c r="B131" s="5" t="s">
        <v>69</v>
      </c>
      <c r="C131" s="5" t="s">
        <v>428</v>
      </c>
      <c r="D131" s="5" t="s">
        <v>45</v>
      </c>
      <c r="E131" s="5" t="s">
        <v>343</v>
      </c>
      <c r="F131" s="5" t="s">
        <v>468</v>
      </c>
      <c r="G131" s="5" t="s">
        <v>469</v>
      </c>
      <c r="H131" s="5" t="s">
        <v>123</v>
      </c>
      <c r="I131" s="5" t="s">
        <v>41</v>
      </c>
      <c r="J131" s="5"/>
      <c r="K131" s="6" t="n">
        <f aca="false">SUMPRODUCT((Parti!$A$2:$A$3000=A131)*Parti!$C$2:$C$3000*Parti!$D$2:$D$3000*Parti!$E$2:$E$3000)</f>
        <v>500</v>
      </c>
      <c r="L131" s="6" t="n">
        <f aca="false">ROUND((K131*Legenda!$H$2/100+SUMPRODUCT((Parti!$A$2:$A$3000=A131)*Parti!$C$2:$C$3000*Parti!$D$2:$D$3000*(Parti!$F$2:$F$3000+Parti!$J$2:$J$3000)))/60,0)</f>
        <v>12</v>
      </c>
      <c r="M131" s="5"/>
      <c r="N131" s="5" t="s">
        <v>42</v>
      </c>
      <c r="O131" s="5" t="s">
        <v>43</v>
      </c>
    </row>
    <row r="132" customFormat="false" ht="15" hidden="false" customHeight="false" outlineLevel="0" collapsed="false">
      <c r="A132" s="5" t="s">
        <v>470</v>
      </c>
      <c r="B132" s="5" t="s">
        <v>34</v>
      </c>
      <c r="C132" s="5" t="s">
        <v>428</v>
      </c>
      <c r="D132" s="5" t="s">
        <v>45</v>
      </c>
      <c r="E132" s="5" t="s">
        <v>343</v>
      </c>
      <c r="F132" s="5" t="s">
        <v>471</v>
      </c>
      <c r="G132" s="5" t="s">
        <v>472</v>
      </c>
      <c r="H132" s="5" t="s">
        <v>52</v>
      </c>
      <c r="I132" s="5" t="s">
        <v>41</v>
      </c>
      <c r="J132" s="5"/>
      <c r="K132" s="6" t="n">
        <f aca="false">SUMPRODUCT((Parti!$A$2:$A$3000=A132)*Parti!$C$2:$C$3000*Parti!$D$2:$D$3000*Parti!$E$2:$E$3000)</f>
        <v>1000</v>
      </c>
      <c r="L132" s="6" t="n">
        <f aca="false">ROUND((K132*Legenda!$H$2/100+SUMPRODUCT((Parti!$A$2:$A$3000=A132)*Parti!$C$2:$C$3000*Parti!$D$2:$D$3000*(Parti!$F$2:$F$3000+Parti!$J$2:$J$3000)))/60,0)</f>
        <v>21</v>
      </c>
      <c r="M132" s="5"/>
      <c r="N132" s="5" t="s">
        <v>42</v>
      </c>
      <c r="O132" s="5" t="s">
        <v>43</v>
      </c>
    </row>
    <row r="133" customFormat="false" ht="15" hidden="false" customHeight="false" outlineLevel="0" collapsed="false">
      <c r="A133" s="5" t="s">
        <v>473</v>
      </c>
      <c r="B133" s="5" t="s">
        <v>34</v>
      </c>
      <c r="C133" s="5" t="s">
        <v>428</v>
      </c>
      <c r="D133" s="5" t="s">
        <v>45</v>
      </c>
      <c r="E133" s="5" t="s">
        <v>343</v>
      </c>
      <c r="F133" s="5" t="s">
        <v>474</v>
      </c>
      <c r="G133" s="5" t="s">
        <v>475</v>
      </c>
      <c r="H133" s="5" t="s">
        <v>48</v>
      </c>
      <c r="I133" s="5" t="s">
        <v>41</v>
      </c>
      <c r="J133" s="5"/>
      <c r="K133" s="6" t="n">
        <f aca="false">SUMPRODUCT((Parti!$A$2:$A$3000=A133)*Parti!$C$2:$C$3000*Parti!$D$2:$D$3000*Parti!$E$2:$E$3000)</f>
        <v>800</v>
      </c>
      <c r="L133" s="6" t="n">
        <f aca="false">ROUND((K133*Legenda!$H$2/100+SUMPRODUCT((Parti!$A$2:$A$3000=A133)*Parti!$C$2:$C$3000*Parti!$D$2:$D$3000*(Parti!$F$2:$F$3000+Parti!$J$2:$J$3000)))/60,0)</f>
        <v>17</v>
      </c>
      <c r="M133" s="5"/>
      <c r="N133" s="5" t="s">
        <v>42</v>
      </c>
      <c r="O133" s="5" t="s">
        <v>43</v>
      </c>
    </row>
    <row r="134" customFormat="false" ht="15" hidden="false" customHeight="false" outlineLevel="0" collapsed="false">
      <c r="A134" s="5" t="s">
        <v>476</v>
      </c>
      <c r="B134" s="5" t="s">
        <v>69</v>
      </c>
      <c r="C134" s="5" t="s">
        <v>428</v>
      </c>
      <c r="D134" s="5" t="s">
        <v>45</v>
      </c>
      <c r="E134" s="5" t="s">
        <v>343</v>
      </c>
      <c r="F134" s="5" t="s">
        <v>477</v>
      </c>
      <c r="G134" s="5" t="s">
        <v>478</v>
      </c>
      <c r="H134" s="5" t="s">
        <v>115</v>
      </c>
      <c r="I134" s="5" t="s">
        <v>41</v>
      </c>
      <c r="J134" s="5"/>
      <c r="K134" s="6" t="n">
        <f aca="false">SUMPRODUCT((Parti!$A$2:$A$3000=A134)*Parti!$C$2:$C$3000*Parti!$D$2:$D$3000*Parti!$E$2:$E$3000)</f>
        <v>800</v>
      </c>
      <c r="L134" s="6" t="n">
        <f aca="false">ROUND((K134*Legenda!$H$2/100+SUMPRODUCT((Parti!$A$2:$A$3000=A134)*Parti!$C$2:$C$3000*Parti!$D$2:$D$3000*(Parti!$F$2:$F$3000+Parti!$J$2:$J$3000)))/60,0)</f>
        <v>17</v>
      </c>
      <c r="M134" s="5"/>
      <c r="N134" s="5" t="s">
        <v>42</v>
      </c>
      <c r="O134" s="5" t="s">
        <v>43</v>
      </c>
    </row>
    <row r="135" customFormat="false" ht="15" hidden="false" customHeight="false" outlineLevel="0" collapsed="false">
      <c r="A135" s="5" t="s">
        <v>479</v>
      </c>
      <c r="B135" s="5" t="s">
        <v>69</v>
      </c>
      <c r="C135" s="5" t="s">
        <v>428</v>
      </c>
      <c r="D135" s="5" t="s">
        <v>45</v>
      </c>
      <c r="E135" s="5" t="s">
        <v>343</v>
      </c>
      <c r="F135" s="5" t="s">
        <v>480</v>
      </c>
      <c r="G135" s="5" t="s">
        <v>481</v>
      </c>
      <c r="H135" s="5" t="s">
        <v>119</v>
      </c>
      <c r="I135" s="5" t="s">
        <v>41</v>
      </c>
      <c r="J135" s="5"/>
      <c r="K135" s="6" t="n">
        <f aca="false">SUMPRODUCT((Parti!$A$2:$A$3000=A135)*Parti!$C$2:$C$3000*Parti!$D$2:$D$3000*Parti!$E$2:$E$3000)</f>
        <v>800</v>
      </c>
      <c r="L135" s="6" t="n">
        <f aca="false">ROUND((K135*Legenda!$H$2/100+SUMPRODUCT((Parti!$A$2:$A$3000=A135)*Parti!$C$2:$C$3000*Parti!$D$2:$D$3000*(Parti!$F$2:$F$3000+Parti!$J$2:$J$3000)))/60,0)</f>
        <v>17</v>
      </c>
      <c r="M135" s="5"/>
      <c r="N135" s="5" t="s">
        <v>42</v>
      </c>
      <c r="O135" s="5" t="s">
        <v>43</v>
      </c>
    </row>
    <row r="136" customFormat="false" ht="15" hidden="false" customHeight="false" outlineLevel="0" collapsed="false">
      <c r="A136" s="5" t="s">
        <v>482</v>
      </c>
      <c r="B136" s="5" t="s">
        <v>69</v>
      </c>
      <c r="C136" s="5" t="s">
        <v>428</v>
      </c>
      <c r="D136" s="5" t="s">
        <v>45</v>
      </c>
      <c r="E136" s="5" t="s">
        <v>343</v>
      </c>
      <c r="F136" s="5" t="s">
        <v>483</v>
      </c>
      <c r="G136" s="5" t="s">
        <v>484</v>
      </c>
      <c r="H136" s="5" t="s">
        <v>123</v>
      </c>
      <c r="I136" s="5" t="s">
        <v>41</v>
      </c>
      <c r="J136" s="5"/>
      <c r="K136" s="6" t="n">
        <f aca="false">SUMPRODUCT((Parti!$A$2:$A$3000=A136)*Parti!$C$2:$C$3000*Parti!$D$2:$D$3000*Parti!$E$2:$E$3000)</f>
        <v>400</v>
      </c>
      <c r="L136" s="6" t="n">
        <f aca="false">ROUND((K136*Legenda!$H$2/100+SUMPRODUCT((Parti!$A$2:$A$3000=A136)*Parti!$C$2:$C$3000*Parti!$D$2:$D$3000*(Parti!$F$2:$F$3000+Parti!$J$2:$J$3000)))/60,0)</f>
        <v>9</v>
      </c>
      <c r="M136" s="5"/>
      <c r="N136" s="5" t="s">
        <v>42</v>
      </c>
      <c r="O136" s="5" t="s">
        <v>43</v>
      </c>
    </row>
    <row r="137" customFormat="false" ht="15" hidden="false" customHeight="false" outlineLevel="0" collapsed="false">
      <c r="A137" s="5" t="s">
        <v>485</v>
      </c>
      <c r="B137" s="5" t="s">
        <v>34</v>
      </c>
      <c r="C137" s="5" t="s">
        <v>428</v>
      </c>
      <c r="D137" s="5" t="s">
        <v>348</v>
      </c>
      <c r="E137" s="5" t="s">
        <v>108</v>
      </c>
      <c r="F137" s="5" t="s">
        <v>486</v>
      </c>
      <c r="G137" s="5" t="s">
        <v>487</v>
      </c>
      <c r="H137" s="5" t="s">
        <v>48</v>
      </c>
      <c r="I137" s="5" t="s">
        <v>53</v>
      </c>
      <c r="J137" s="5"/>
      <c r="K137" s="6" t="n">
        <f aca="false">SUMPRODUCT((Parti!$A$2:$A$3000=A137)*Parti!$C$2:$C$3000*Parti!$D$2:$D$3000*Parti!$E$2:$E$3000)</f>
        <v>1000</v>
      </c>
      <c r="L137" s="6" t="n">
        <f aca="false">ROUND((K137*Legenda!$H$2/100+SUMPRODUCT((Parti!$A$2:$A$3000=A137)*Parti!$C$2:$C$3000*Parti!$D$2:$D$3000*(Parti!$F$2:$F$3000+Parti!$J$2:$J$3000)))/60,0)</f>
        <v>21</v>
      </c>
      <c r="M137" s="5"/>
      <c r="N137" s="5" t="s">
        <v>42</v>
      </c>
      <c r="O137" s="5" t="s">
        <v>43</v>
      </c>
    </row>
    <row r="138" customFormat="false" ht="15" hidden="false" customHeight="false" outlineLevel="0" collapsed="false">
      <c r="A138" s="5" t="s">
        <v>488</v>
      </c>
      <c r="B138" s="5" t="s">
        <v>69</v>
      </c>
      <c r="C138" s="5" t="s">
        <v>428</v>
      </c>
      <c r="D138" s="5" t="s">
        <v>348</v>
      </c>
      <c r="E138" s="5" t="s">
        <v>108</v>
      </c>
      <c r="F138" s="5" t="s">
        <v>489</v>
      </c>
      <c r="G138" s="5" t="s">
        <v>490</v>
      </c>
      <c r="H138" s="5" t="s">
        <v>115</v>
      </c>
      <c r="I138" s="5" t="s">
        <v>53</v>
      </c>
      <c r="J138" s="5"/>
      <c r="K138" s="6" t="n">
        <f aca="false">SUMPRODUCT((Parti!$A$2:$A$3000=A138)*Parti!$C$2:$C$3000*Parti!$D$2:$D$3000*Parti!$E$2:$E$3000)</f>
        <v>1000</v>
      </c>
      <c r="L138" s="6" t="n">
        <f aca="false">ROUND((K138*Legenda!$H$2/100+SUMPRODUCT((Parti!$A$2:$A$3000=A138)*Parti!$C$2:$C$3000*Parti!$D$2:$D$3000*(Parti!$F$2:$F$3000+Parti!$J$2:$J$3000)))/60,0)</f>
        <v>21</v>
      </c>
      <c r="M138" s="5"/>
      <c r="N138" s="5" t="s">
        <v>42</v>
      </c>
      <c r="O138" s="5" t="s">
        <v>43</v>
      </c>
    </row>
    <row r="139" customFormat="false" ht="15" hidden="false" customHeight="false" outlineLevel="0" collapsed="false">
      <c r="A139" s="5" t="s">
        <v>491</v>
      </c>
      <c r="B139" s="5" t="s">
        <v>69</v>
      </c>
      <c r="C139" s="5" t="s">
        <v>428</v>
      </c>
      <c r="D139" s="5" t="s">
        <v>348</v>
      </c>
      <c r="E139" s="5" t="s">
        <v>108</v>
      </c>
      <c r="F139" s="5" t="s">
        <v>492</v>
      </c>
      <c r="G139" s="5" t="s">
        <v>493</v>
      </c>
      <c r="H139" s="5" t="s">
        <v>119</v>
      </c>
      <c r="I139" s="5" t="s">
        <v>53</v>
      </c>
      <c r="J139" s="5"/>
      <c r="K139" s="6" t="n">
        <f aca="false">SUMPRODUCT((Parti!$A$2:$A$3000=A139)*Parti!$C$2:$C$3000*Parti!$D$2:$D$3000*Parti!$E$2:$E$3000)</f>
        <v>1000</v>
      </c>
      <c r="L139" s="6" t="n">
        <f aca="false">ROUND((K139*Legenda!$H$2/100+SUMPRODUCT((Parti!$A$2:$A$3000=A139)*Parti!$C$2:$C$3000*Parti!$D$2:$D$3000*(Parti!$F$2:$F$3000+Parti!$J$2:$J$3000)))/60,0)</f>
        <v>21</v>
      </c>
      <c r="M139" s="5"/>
      <c r="N139" s="5" t="s">
        <v>42</v>
      </c>
      <c r="O139" s="5" t="s">
        <v>43</v>
      </c>
    </row>
    <row r="140" customFormat="false" ht="15" hidden="false" customHeight="false" outlineLevel="0" collapsed="false">
      <c r="A140" s="5" t="s">
        <v>494</v>
      </c>
      <c r="B140" s="5" t="s">
        <v>69</v>
      </c>
      <c r="C140" s="5" t="s">
        <v>428</v>
      </c>
      <c r="D140" s="5" t="s">
        <v>348</v>
      </c>
      <c r="E140" s="5" t="s">
        <v>108</v>
      </c>
      <c r="F140" s="5" t="s">
        <v>495</v>
      </c>
      <c r="G140" s="5" t="s">
        <v>496</v>
      </c>
      <c r="H140" s="5" t="s">
        <v>123</v>
      </c>
      <c r="I140" s="5" t="s">
        <v>53</v>
      </c>
      <c r="J140" s="5"/>
      <c r="K140" s="6" t="n">
        <f aca="false">SUMPRODUCT((Parti!$A$2:$A$3000=A140)*Parti!$C$2:$C$3000*Parti!$D$2:$D$3000*Parti!$E$2:$E$3000)</f>
        <v>500</v>
      </c>
      <c r="L140" s="6" t="n">
        <f aca="false">ROUND((K140*Legenda!$H$2/100+SUMPRODUCT((Parti!$A$2:$A$3000=A140)*Parti!$C$2:$C$3000*Parti!$D$2:$D$3000*(Parti!$F$2:$F$3000+Parti!$J$2:$J$3000)))/60,0)</f>
        <v>12</v>
      </c>
      <c r="M140" s="5"/>
      <c r="N140" s="5" t="s">
        <v>42</v>
      </c>
      <c r="O140" s="5" t="s">
        <v>43</v>
      </c>
    </row>
    <row r="141" customFormat="false" ht="15" hidden="false" customHeight="false" outlineLevel="0" collapsed="false">
      <c r="A141" s="5" t="s">
        <v>497</v>
      </c>
      <c r="B141" s="5" t="s">
        <v>34</v>
      </c>
      <c r="C141" s="5" t="s">
        <v>428</v>
      </c>
      <c r="D141" s="5" t="s">
        <v>348</v>
      </c>
      <c r="E141" s="5" t="s">
        <v>108</v>
      </c>
      <c r="F141" s="5" t="s">
        <v>498</v>
      </c>
      <c r="G141" s="5" t="s">
        <v>499</v>
      </c>
      <c r="H141" s="5" t="s">
        <v>52</v>
      </c>
      <c r="I141" s="5" t="s">
        <v>53</v>
      </c>
      <c r="J141" s="5"/>
      <c r="K141" s="6" t="n">
        <f aca="false">SUMPRODUCT((Parti!$A$2:$A$3000=A141)*Parti!$C$2:$C$3000*Parti!$D$2:$D$3000*Parti!$E$2:$E$3000)</f>
        <v>1000</v>
      </c>
      <c r="L141" s="6" t="n">
        <f aca="false">ROUND((K141*Legenda!$H$2/100+SUMPRODUCT((Parti!$A$2:$A$3000=A141)*Parti!$C$2:$C$3000*Parti!$D$2:$D$3000*(Parti!$F$2:$F$3000+Parti!$J$2:$J$3000)))/60,0)</f>
        <v>21</v>
      </c>
      <c r="M141" s="5"/>
      <c r="N141" s="5" t="s">
        <v>42</v>
      </c>
      <c r="O141" s="5" t="s">
        <v>43</v>
      </c>
    </row>
    <row r="142" customFormat="false" ht="15" hidden="false" customHeight="false" outlineLevel="0" collapsed="false">
      <c r="A142" s="5" t="s">
        <v>500</v>
      </c>
      <c r="B142" s="5" t="s">
        <v>34</v>
      </c>
      <c r="C142" s="5" t="s">
        <v>428</v>
      </c>
      <c r="D142" s="5" t="s">
        <v>348</v>
      </c>
      <c r="E142" s="5" t="s">
        <v>108</v>
      </c>
      <c r="F142" s="5" t="s">
        <v>501</v>
      </c>
      <c r="G142" s="5" t="s">
        <v>502</v>
      </c>
      <c r="H142" s="5" t="s">
        <v>48</v>
      </c>
      <c r="I142" s="5" t="s">
        <v>53</v>
      </c>
      <c r="J142" s="5"/>
      <c r="K142" s="6" t="n">
        <f aca="false">SUMPRODUCT((Parti!$A$2:$A$3000=A142)*Parti!$C$2:$C$3000*Parti!$D$2:$D$3000*Parti!$E$2:$E$3000)</f>
        <v>1000</v>
      </c>
      <c r="L142" s="6" t="n">
        <f aca="false">ROUND((K142*Legenda!$H$2/100+SUMPRODUCT((Parti!$A$2:$A$3000=A142)*Parti!$C$2:$C$3000*Parti!$D$2:$D$3000*(Parti!$F$2:$F$3000+Parti!$J$2:$J$3000)))/60,0)</f>
        <v>20</v>
      </c>
      <c r="M142" s="5"/>
      <c r="N142" s="5" t="s">
        <v>42</v>
      </c>
      <c r="O142" s="5" t="s">
        <v>43</v>
      </c>
    </row>
    <row r="143" customFormat="false" ht="15" hidden="false" customHeight="false" outlineLevel="0" collapsed="false">
      <c r="A143" s="5" t="s">
        <v>503</v>
      </c>
      <c r="B143" s="5" t="s">
        <v>69</v>
      </c>
      <c r="C143" s="5" t="s">
        <v>428</v>
      </c>
      <c r="D143" s="5" t="s">
        <v>348</v>
      </c>
      <c r="E143" s="5" t="s">
        <v>108</v>
      </c>
      <c r="F143" s="5" t="s">
        <v>504</v>
      </c>
      <c r="G143" s="5" t="s">
        <v>505</v>
      </c>
      <c r="H143" s="5" t="s">
        <v>115</v>
      </c>
      <c r="I143" s="5" t="s">
        <v>53</v>
      </c>
      <c r="J143" s="5"/>
      <c r="K143" s="6" t="n">
        <f aca="false">SUMPRODUCT((Parti!$A$2:$A$3000=A143)*Parti!$C$2:$C$3000*Parti!$D$2:$D$3000*Parti!$E$2:$E$3000)</f>
        <v>1000</v>
      </c>
      <c r="L143" s="6" t="n">
        <f aca="false">ROUND((K143*Legenda!$H$2/100+SUMPRODUCT((Parti!$A$2:$A$3000=A143)*Parti!$C$2:$C$3000*Parti!$D$2:$D$3000*(Parti!$F$2:$F$3000+Parti!$J$2:$J$3000)))/60,0)</f>
        <v>20</v>
      </c>
      <c r="M143" s="5"/>
      <c r="N143" s="5" t="s">
        <v>42</v>
      </c>
      <c r="O143" s="5" t="s">
        <v>43</v>
      </c>
    </row>
    <row r="144" customFormat="false" ht="15" hidden="false" customHeight="false" outlineLevel="0" collapsed="false">
      <c r="A144" s="5" t="s">
        <v>506</v>
      </c>
      <c r="B144" s="5" t="s">
        <v>69</v>
      </c>
      <c r="C144" s="5" t="s">
        <v>428</v>
      </c>
      <c r="D144" s="5" t="s">
        <v>348</v>
      </c>
      <c r="E144" s="5" t="s">
        <v>108</v>
      </c>
      <c r="F144" s="5" t="s">
        <v>507</v>
      </c>
      <c r="G144" s="5" t="s">
        <v>508</v>
      </c>
      <c r="H144" s="5" t="s">
        <v>119</v>
      </c>
      <c r="I144" s="5" t="s">
        <v>53</v>
      </c>
      <c r="J144" s="5"/>
      <c r="K144" s="6" t="n">
        <f aca="false">SUMPRODUCT((Parti!$A$2:$A$3000=A144)*Parti!$C$2:$C$3000*Parti!$D$2:$D$3000*Parti!$E$2:$E$3000)</f>
        <v>1000</v>
      </c>
      <c r="L144" s="6" t="n">
        <f aca="false">ROUND((K144*Legenda!$H$2/100+SUMPRODUCT((Parti!$A$2:$A$3000=A144)*Parti!$C$2:$C$3000*Parti!$D$2:$D$3000*(Parti!$F$2:$F$3000+Parti!$J$2:$J$3000)))/60,0)</f>
        <v>20</v>
      </c>
      <c r="M144" s="5"/>
      <c r="N144" s="5" t="s">
        <v>42</v>
      </c>
      <c r="O144" s="5" t="s">
        <v>43</v>
      </c>
    </row>
    <row r="145" customFormat="false" ht="15" hidden="false" customHeight="false" outlineLevel="0" collapsed="false">
      <c r="A145" s="5" t="s">
        <v>509</v>
      </c>
      <c r="B145" s="5" t="s">
        <v>69</v>
      </c>
      <c r="C145" s="5" t="s">
        <v>428</v>
      </c>
      <c r="D145" s="5" t="s">
        <v>348</v>
      </c>
      <c r="E145" s="5" t="s">
        <v>108</v>
      </c>
      <c r="F145" s="5" t="s">
        <v>510</v>
      </c>
      <c r="G145" s="5" t="s">
        <v>511</v>
      </c>
      <c r="H145" s="5" t="s">
        <v>123</v>
      </c>
      <c r="I145" s="5" t="s">
        <v>53</v>
      </c>
      <c r="J145" s="5"/>
      <c r="K145" s="6" t="n">
        <f aca="false">SUMPRODUCT((Parti!$A$2:$A$3000=A145)*Parti!$C$2:$C$3000*Parti!$D$2:$D$3000*Parti!$E$2:$E$3000)</f>
        <v>500</v>
      </c>
      <c r="L145" s="6" t="n">
        <f aca="false">ROUND((K145*Legenda!$H$2/100+SUMPRODUCT((Parti!$A$2:$A$3000=A145)*Parti!$C$2:$C$3000*Parti!$D$2:$D$3000*(Parti!$F$2:$F$3000+Parti!$J$2:$J$3000)))/60,0)</f>
        <v>11</v>
      </c>
      <c r="M145" s="5"/>
      <c r="N145" s="5" t="s">
        <v>42</v>
      </c>
      <c r="O145" s="5" t="s">
        <v>43</v>
      </c>
    </row>
    <row r="146" customFormat="false" ht="15" hidden="false" customHeight="false" outlineLevel="0" collapsed="false">
      <c r="A146" s="5" t="s">
        <v>512</v>
      </c>
      <c r="B146" s="5" t="s">
        <v>34</v>
      </c>
      <c r="C146" s="5" t="s">
        <v>428</v>
      </c>
      <c r="D146" s="5" t="s">
        <v>348</v>
      </c>
      <c r="E146" s="5" t="s">
        <v>108</v>
      </c>
      <c r="F146" s="5" t="s">
        <v>513</v>
      </c>
      <c r="G146" s="5" t="s">
        <v>514</v>
      </c>
      <c r="H146" s="5" t="s">
        <v>52</v>
      </c>
      <c r="I146" s="5" t="s">
        <v>53</v>
      </c>
      <c r="J146" s="5"/>
      <c r="K146" s="6" t="n">
        <f aca="false">SUMPRODUCT((Parti!$A$2:$A$3000=A146)*Parti!$C$2:$C$3000*Parti!$D$2:$D$3000*Parti!$E$2:$E$3000)</f>
        <v>1000</v>
      </c>
      <c r="L146" s="6" t="n">
        <f aca="false">ROUND((K146*Legenda!$H$2/100+SUMPRODUCT((Parti!$A$2:$A$3000=A146)*Parti!$C$2:$C$3000*Parti!$D$2:$D$3000*(Parti!$F$2:$F$3000+Parti!$J$2:$J$3000)))/60,0)</f>
        <v>20</v>
      </c>
      <c r="M146" s="5"/>
      <c r="N146" s="5" t="s">
        <v>42</v>
      </c>
      <c r="O146" s="5" t="s">
        <v>43</v>
      </c>
    </row>
    <row r="147" customFormat="false" ht="15" hidden="false" customHeight="false" outlineLevel="0" collapsed="false">
      <c r="A147" s="5" t="s">
        <v>515</v>
      </c>
      <c r="B147" s="5" t="s">
        <v>34</v>
      </c>
      <c r="C147" s="5" t="s">
        <v>428</v>
      </c>
      <c r="D147" s="5" t="s">
        <v>348</v>
      </c>
      <c r="E147" s="5" t="s">
        <v>108</v>
      </c>
      <c r="F147" s="5" t="s">
        <v>516</v>
      </c>
      <c r="G147" s="5" t="s">
        <v>517</v>
      </c>
      <c r="H147" s="5" t="s">
        <v>48</v>
      </c>
      <c r="I147" s="5" t="s">
        <v>82</v>
      </c>
      <c r="J147" s="5"/>
      <c r="K147" s="6" t="n">
        <f aca="false">SUMPRODUCT((Parti!$A$2:$A$3000=A147)*Parti!$C$2:$C$3000*Parti!$D$2:$D$3000*Parti!$E$2:$E$3000)</f>
        <v>1200</v>
      </c>
      <c r="L147" s="6" t="n">
        <f aca="false">ROUND((K147*Legenda!$H$2/100+SUMPRODUCT((Parti!$A$2:$A$3000=A147)*Parti!$C$2:$C$3000*Parti!$D$2:$D$3000*(Parti!$F$2:$F$3000+Parti!$J$2:$J$3000)))/60,0)</f>
        <v>24</v>
      </c>
      <c r="M147" s="5"/>
      <c r="N147" s="5" t="s">
        <v>42</v>
      </c>
      <c r="O147" s="5" t="s">
        <v>43</v>
      </c>
    </row>
    <row r="148" customFormat="false" ht="15" hidden="false" customHeight="false" outlineLevel="0" collapsed="false">
      <c r="A148" s="5" t="s">
        <v>518</v>
      </c>
      <c r="B148" s="5" t="s">
        <v>69</v>
      </c>
      <c r="C148" s="5" t="s">
        <v>428</v>
      </c>
      <c r="D148" s="5" t="s">
        <v>348</v>
      </c>
      <c r="E148" s="5" t="s">
        <v>108</v>
      </c>
      <c r="F148" s="5" t="s">
        <v>519</v>
      </c>
      <c r="G148" s="5" t="s">
        <v>520</v>
      </c>
      <c r="H148" s="5" t="s">
        <v>115</v>
      </c>
      <c r="I148" s="5" t="s">
        <v>82</v>
      </c>
      <c r="J148" s="5"/>
      <c r="K148" s="6" t="n">
        <f aca="false">SUMPRODUCT((Parti!$A$2:$A$3000=A148)*Parti!$C$2:$C$3000*Parti!$D$2:$D$3000*Parti!$E$2:$E$3000)</f>
        <v>1200</v>
      </c>
      <c r="L148" s="6" t="n">
        <f aca="false">ROUND((K148*Legenda!$H$2/100+SUMPRODUCT((Parti!$A$2:$A$3000=A148)*Parti!$C$2:$C$3000*Parti!$D$2:$D$3000*(Parti!$F$2:$F$3000+Parti!$J$2:$J$3000)))/60,0)</f>
        <v>24</v>
      </c>
      <c r="M148" s="5"/>
      <c r="N148" s="5" t="s">
        <v>42</v>
      </c>
      <c r="O148" s="5" t="s">
        <v>43</v>
      </c>
    </row>
    <row r="149" customFormat="false" ht="15" hidden="false" customHeight="false" outlineLevel="0" collapsed="false">
      <c r="A149" s="5" t="s">
        <v>521</v>
      </c>
      <c r="B149" s="5" t="s">
        <v>69</v>
      </c>
      <c r="C149" s="5" t="s">
        <v>428</v>
      </c>
      <c r="D149" s="5" t="s">
        <v>348</v>
      </c>
      <c r="E149" s="5" t="s">
        <v>108</v>
      </c>
      <c r="F149" s="5" t="s">
        <v>522</v>
      </c>
      <c r="G149" s="5" t="s">
        <v>523</v>
      </c>
      <c r="H149" s="5" t="s">
        <v>119</v>
      </c>
      <c r="I149" s="5" t="s">
        <v>82</v>
      </c>
      <c r="J149" s="5"/>
      <c r="K149" s="6" t="n">
        <f aca="false">SUMPRODUCT((Parti!$A$2:$A$3000=A149)*Parti!$C$2:$C$3000*Parti!$D$2:$D$3000*Parti!$E$2:$E$3000)</f>
        <v>1200</v>
      </c>
      <c r="L149" s="6" t="n">
        <f aca="false">ROUND((K149*Legenda!$H$2/100+SUMPRODUCT((Parti!$A$2:$A$3000=A149)*Parti!$C$2:$C$3000*Parti!$D$2:$D$3000*(Parti!$F$2:$F$3000+Parti!$J$2:$J$3000)))/60,0)</f>
        <v>24</v>
      </c>
      <c r="M149" s="5"/>
      <c r="N149" s="5" t="s">
        <v>42</v>
      </c>
      <c r="O149" s="5" t="s">
        <v>43</v>
      </c>
    </row>
    <row r="150" customFormat="false" ht="15" hidden="false" customHeight="false" outlineLevel="0" collapsed="false">
      <c r="A150" s="5" t="s">
        <v>524</v>
      </c>
      <c r="B150" s="5" t="s">
        <v>69</v>
      </c>
      <c r="C150" s="5" t="s">
        <v>428</v>
      </c>
      <c r="D150" s="5" t="s">
        <v>348</v>
      </c>
      <c r="E150" s="5" t="s">
        <v>108</v>
      </c>
      <c r="F150" s="5" t="s">
        <v>525</v>
      </c>
      <c r="G150" s="5" t="s">
        <v>526</v>
      </c>
      <c r="H150" s="5" t="s">
        <v>123</v>
      </c>
      <c r="I150" s="5" t="s">
        <v>82</v>
      </c>
      <c r="J150" s="5"/>
      <c r="K150" s="6" t="n">
        <f aca="false">SUMPRODUCT((Parti!$A$2:$A$3000=A150)*Parti!$C$2:$C$3000*Parti!$D$2:$D$3000*Parti!$E$2:$E$3000)</f>
        <v>600</v>
      </c>
      <c r="L150" s="6" t="n">
        <f aca="false">ROUND((K150*Legenda!$H$2/100+SUMPRODUCT((Parti!$A$2:$A$3000=A150)*Parti!$C$2:$C$3000*Parti!$D$2:$D$3000*(Parti!$F$2:$F$3000+Parti!$J$2:$J$3000)))/60,0)</f>
        <v>13</v>
      </c>
      <c r="M150" s="5"/>
      <c r="N150" s="5" t="s">
        <v>42</v>
      </c>
      <c r="O150" s="5" t="s">
        <v>43</v>
      </c>
    </row>
    <row r="151" customFormat="false" ht="15" hidden="false" customHeight="false" outlineLevel="0" collapsed="false">
      <c r="A151" s="5" t="s">
        <v>527</v>
      </c>
      <c r="B151" s="5" t="s">
        <v>34</v>
      </c>
      <c r="C151" s="5" t="s">
        <v>428</v>
      </c>
      <c r="D151" s="5" t="s">
        <v>348</v>
      </c>
      <c r="E151" s="5" t="s">
        <v>108</v>
      </c>
      <c r="F151" s="5" t="s">
        <v>528</v>
      </c>
      <c r="G151" s="5" t="s">
        <v>529</v>
      </c>
      <c r="H151" s="5" t="s">
        <v>52</v>
      </c>
      <c r="I151" s="5" t="s">
        <v>82</v>
      </c>
      <c r="J151" s="5"/>
      <c r="K151" s="6" t="n">
        <f aca="false">SUMPRODUCT((Parti!$A$2:$A$3000=A151)*Parti!$C$2:$C$3000*Parti!$D$2:$D$3000*Parti!$E$2:$E$3000)</f>
        <v>1200</v>
      </c>
      <c r="L151" s="6" t="n">
        <f aca="false">ROUND((K151*Legenda!$H$2/100+SUMPRODUCT((Parti!$A$2:$A$3000=A151)*Parti!$C$2:$C$3000*Parti!$D$2:$D$3000*(Parti!$F$2:$F$3000+Parti!$J$2:$J$3000)))/60,0)</f>
        <v>24</v>
      </c>
      <c r="M151" s="5"/>
      <c r="N151" s="5" t="s">
        <v>42</v>
      </c>
      <c r="O151" s="5" t="s">
        <v>43</v>
      </c>
    </row>
    <row r="152" customFormat="false" ht="15" hidden="false" customHeight="false" outlineLevel="0" collapsed="false">
      <c r="A152" s="5" t="s">
        <v>530</v>
      </c>
      <c r="B152" s="5" t="s">
        <v>34</v>
      </c>
      <c r="C152" s="5" t="s">
        <v>428</v>
      </c>
      <c r="D152" s="5" t="s">
        <v>348</v>
      </c>
      <c r="E152" s="5" t="s">
        <v>108</v>
      </c>
      <c r="F152" s="5" t="s">
        <v>531</v>
      </c>
      <c r="G152" s="5" t="s">
        <v>532</v>
      </c>
      <c r="H152" s="5" t="s">
        <v>48</v>
      </c>
      <c r="I152" s="5" t="s">
        <v>53</v>
      </c>
      <c r="J152" s="5"/>
      <c r="K152" s="6" t="n">
        <f aca="false">SUMPRODUCT((Parti!$A$2:$A$3000=A152)*Parti!$C$2:$C$3000*Parti!$D$2:$D$3000*Parti!$E$2:$E$3000)</f>
        <v>1000</v>
      </c>
      <c r="L152" s="6" t="n">
        <f aca="false">ROUND((K152*Legenda!$H$2/100+SUMPRODUCT((Parti!$A$2:$A$3000=A152)*Parti!$C$2:$C$3000*Parti!$D$2:$D$3000*(Parti!$F$2:$F$3000+Parti!$J$2:$J$3000)))/60,0)</f>
        <v>22</v>
      </c>
      <c r="M152" s="5"/>
      <c r="N152" s="5" t="s">
        <v>42</v>
      </c>
      <c r="O152" s="5" t="s">
        <v>43</v>
      </c>
    </row>
    <row r="153" customFormat="false" ht="15" hidden="false" customHeight="false" outlineLevel="0" collapsed="false">
      <c r="A153" s="5" t="s">
        <v>533</v>
      </c>
      <c r="B153" s="5" t="s">
        <v>69</v>
      </c>
      <c r="C153" s="5" t="s">
        <v>428</v>
      </c>
      <c r="D153" s="5" t="s">
        <v>348</v>
      </c>
      <c r="E153" s="5" t="s">
        <v>108</v>
      </c>
      <c r="F153" s="5" t="s">
        <v>534</v>
      </c>
      <c r="G153" s="5" t="s">
        <v>535</v>
      </c>
      <c r="H153" s="5" t="s">
        <v>115</v>
      </c>
      <c r="I153" s="5" t="s">
        <v>53</v>
      </c>
      <c r="J153" s="5"/>
      <c r="K153" s="6" t="n">
        <f aca="false">SUMPRODUCT((Parti!$A$2:$A$3000=A153)*Parti!$C$2:$C$3000*Parti!$D$2:$D$3000*Parti!$E$2:$E$3000)</f>
        <v>1000</v>
      </c>
      <c r="L153" s="6" t="n">
        <f aca="false">ROUND((K153*Legenda!$H$2/100+SUMPRODUCT((Parti!$A$2:$A$3000=A153)*Parti!$C$2:$C$3000*Parti!$D$2:$D$3000*(Parti!$F$2:$F$3000+Parti!$J$2:$J$3000)))/60,0)</f>
        <v>22</v>
      </c>
      <c r="M153" s="5"/>
      <c r="N153" s="5" t="s">
        <v>42</v>
      </c>
      <c r="O153" s="5" t="s">
        <v>43</v>
      </c>
    </row>
    <row r="154" customFormat="false" ht="15" hidden="false" customHeight="false" outlineLevel="0" collapsed="false">
      <c r="A154" s="5" t="s">
        <v>536</v>
      </c>
      <c r="B154" s="5" t="s">
        <v>69</v>
      </c>
      <c r="C154" s="5" t="s">
        <v>428</v>
      </c>
      <c r="D154" s="5" t="s">
        <v>348</v>
      </c>
      <c r="E154" s="5" t="s">
        <v>108</v>
      </c>
      <c r="F154" s="5" t="s">
        <v>537</v>
      </c>
      <c r="G154" s="5" t="s">
        <v>538</v>
      </c>
      <c r="H154" s="5" t="s">
        <v>119</v>
      </c>
      <c r="I154" s="5" t="s">
        <v>53</v>
      </c>
      <c r="J154" s="5"/>
      <c r="K154" s="6" t="n">
        <f aca="false">SUMPRODUCT((Parti!$A$2:$A$3000=A154)*Parti!$C$2:$C$3000*Parti!$D$2:$D$3000*Parti!$E$2:$E$3000)</f>
        <v>1000</v>
      </c>
      <c r="L154" s="6" t="n">
        <f aca="false">ROUND((K154*Legenda!$H$2/100+SUMPRODUCT((Parti!$A$2:$A$3000=A154)*Parti!$C$2:$C$3000*Parti!$D$2:$D$3000*(Parti!$F$2:$F$3000+Parti!$J$2:$J$3000)))/60,0)</f>
        <v>22</v>
      </c>
      <c r="M154" s="5"/>
      <c r="N154" s="5" t="s">
        <v>42</v>
      </c>
      <c r="O154" s="5" t="s">
        <v>43</v>
      </c>
    </row>
    <row r="155" customFormat="false" ht="15" hidden="false" customHeight="false" outlineLevel="0" collapsed="false">
      <c r="A155" s="5" t="s">
        <v>539</v>
      </c>
      <c r="B155" s="5" t="s">
        <v>69</v>
      </c>
      <c r="C155" s="5" t="s">
        <v>428</v>
      </c>
      <c r="D155" s="5" t="s">
        <v>348</v>
      </c>
      <c r="E155" s="5" t="s">
        <v>108</v>
      </c>
      <c r="F155" s="5" t="s">
        <v>495</v>
      </c>
      <c r="G155" s="5" t="s">
        <v>540</v>
      </c>
      <c r="H155" s="5" t="s">
        <v>123</v>
      </c>
      <c r="I155" s="5" t="s">
        <v>53</v>
      </c>
      <c r="J155" s="5"/>
      <c r="K155" s="6" t="n">
        <f aca="false">SUMPRODUCT((Parti!$A$2:$A$3000=A155)*Parti!$C$2:$C$3000*Parti!$D$2:$D$3000*Parti!$E$2:$E$3000)</f>
        <v>500</v>
      </c>
      <c r="L155" s="6" t="n">
        <f aca="false">ROUND((K155*Legenda!$H$2/100+SUMPRODUCT((Parti!$A$2:$A$3000=A155)*Parti!$C$2:$C$3000*Parti!$D$2:$D$3000*(Parti!$F$2:$F$3000+Parti!$J$2:$J$3000)))/60,0)</f>
        <v>11</v>
      </c>
      <c r="M155" s="5"/>
      <c r="N155" s="5" t="s">
        <v>42</v>
      </c>
      <c r="O155" s="5" t="s">
        <v>43</v>
      </c>
    </row>
    <row r="156" customFormat="false" ht="15" hidden="false" customHeight="false" outlineLevel="0" collapsed="false">
      <c r="A156" s="5" t="s">
        <v>541</v>
      </c>
      <c r="B156" s="5" t="s">
        <v>34</v>
      </c>
      <c r="C156" s="5" t="s">
        <v>428</v>
      </c>
      <c r="D156" s="5" t="s">
        <v>542</v>
      </c>
      <c r="E156" s="5" t="s">
        <v>139</v>
      </c>
      <c r="F156" s="5" t="s">
        <v>543</v>
      </c>
      <c r="G156" s="5" t="s">
        <v>544</v>
      </c>
      <c r="H156" s="5" t="s">
        <v>48</v>
      </c>
      <c r="I156" s="5" t="s">
        <v>53</v>
      </c>
      <c r="J156" s="5"/>
      <c r="K156" s="6" t="n">
        <f aca="false">SUMPRODUCT((Parti!$A$2:$A$3000=A156)*Parti!$C$2:$C$3000*Parti!$D$2:$D$3000*Parti!$E$2:$E$3000)</f>
        <v>800</v>
      </c>
      <c r="L156" s="6" t="n">
        <f aca="false">ROUND((K156*Legenda!$H$2/100+SUMPRODUCT((Parti!$A$2:$A$3000=A156)*Parti!$C$2:$C$3000*Parti!$D$2:$D$3000*(Parti!$F$2:$F$3000+Parti!$J$2:$J$3000)))/60,0)</f>
        <v>19</v>
      </c>
      <c r="M156" s="5"/>
      <c r="N156" s="5" t="s">
        <v>42</v>
      </c>
      <c r="O156" s="5" t="s">
        <v>43</v>
      </c>
    </row>
    <row r="157" customFormat="false" ht="15" hidden="false" customHeight="false" outlineLevel="0" collapsed="false">
      <c r="A157" s="5" t="s">
        <v>545</v>
      </c>
      <c r="B157" s="5" t="s">
        <v>69</v>
      </c>
      <c r="C157" s="5" t="s">
        <v>428</v>
      </c>
      <c r="D157" s="5" t="s">
        <v>542</v>
      </c>
      <c r="E157" s="5" t="s">
        <v>139</v>
      </c>
      <c r="F157" s="5" t="s">
        <v>546</v>
      </c>
      <c r="G157" s="5" t="s">
        <v>547</v>
      </c>
      <c r="H157" s="5" t="s">
        <v>115</v>
      </c>
      <c r="I157" s="5" t="s">
        <v>53</v>
      </c>
      <c r="J157" s="5"/>
      <c r="K157" s="6" t="n">
        <f aca="false">SUMPRODUCT((Parti!$A$2:$A$3000=A157)*Parti!$C$2:$C$3000*Parti!$D$2:$D$3000*Parti!$E$2:$E$3000)</f>
        <v>800</v>
      </c>
      <c r="L157" s="6" t="n">
        <f aca="false">ROUND((K157*Legenda!$H$2/100+SUMPRODUCT((Parti!$A$2:$A$3000=A157)*Parti!$C$2:$C$3000*Parti!$D$2:$D$3000*(Parti!$F$2:$F$3000+Parti!$J$2:$J$3000)))/60,0)</f>
        <v>19</v>
      </c>
      <c r="M157" s="5"/>
      <c r="N157" s="5" t="s">
        <v>42</v>
      </c>
      <c r="O157" s="5" t="s">
        <v>43</v>
      </c>
    </row>
    <row r="158" customFormat="false" ht="15" hidden="false" customHeight="false" outlineLevel="0" collapsed="false">
      <c r="A158" s="5" t="s">
        <v>548</v>
      </c>
      <c r="B158" s="5" t="s">
        <v>69</v>
      </c>
      <c r="C158" s="5" t="s">
        <v>428</v>
      </c>
      <c r="D158" s="5" t="s">
        <v>542</v>
      </c>
      <c r="E158" s="5" t="s">
        <v>139</v>
      </c>
      <c r="F158" s="5" t="s">
        <v>549</v>
      </c>
      <c r="G158" s="5" t="s">
        <v>550</v>
      </c>
      <c r="H158" s="5" t="s">
        <v>119</v>
      </c>
      <c r="I158" s="5" t="s">
        <v>53</v>
      </c>
      <c r="J158" s="5"/>
      <c r="K158" s="6" t="n">
        <f aca="false">SUMPRODUCT((Parti!$A$2:$A$3000=A158)*Parti!$C$2:$C$3000*Parti!$D$2:$D$3000*Parti!$E$2:$E$3000)</f>
        <v>800</v>
      </c>
      <c r="L158" s="6" t="n">
        <f aca="false">ROUND((K158*Legenda!$H$2/100+SUMPRODUCT((Parti!$A$2:$A$3000=A158)*Parti!$C$2:$C$3000*Parti!$D$2:$D$3000*(Parti!$F$2:$F$3000+Parti!$J$2:$J$3000)))/60,0)</f>
        <v>19</v>
      </c>
      <c r="M158" s="5"/>
      <c r="N158" s="5" t="s">
        <v>42</v>
      </c>
      <c r="O158" s="5" t="s">
        <v>43</v>
      </c>
    </row>
    <row r="159" customFormat="false" ht="15" hidden="false" customHeight="false" outlineLevel="0" collapsed="false">
      <c r="A159" s="5" t="s">
        <v>551</v>
      </c>
      <c r="B159" s="5" t="s">
        <v>69</v>
      </c>
      <c r="C159" s="5" t="s">
        <v>428</v>
      </c>
      <c r="D159" s="5" t="s">
        <v>542</v>
      </c>
      <c r="E159" s="5" t="s">
        <v>139</v>
      </c>
      <c r="F159" s="5" t="s">
        <v>552</v>
      </c>
      <c r="G159" s="5" t="s">
        <v>553</v>
      </c>
      <c r="H159" s="5" t="s">
        <v>123</v>
      </c>
      <c r="I159" s="5" t="s">
        <v>53</v>
      </c>
      <c r="J159" s="5"/>
      <c r="K159" s="6" t="n">
        <f aca="false">SUMPRODUCT((Parti!$A$2:$A$3000=A159)*Parti!$C$2:$C$3000*Parti!$D$2:$D$3000*Parti!$E$2:$E$3000)</f>
        <v>400</v>
      </c>
      <c r="L159" s="6" t="n">
        <f aca="false">ROUND((K159*Legenda!$H$2/100+SUMPRODUCT((Parti!$A$2:$A$3000=A159)*Parti!$C$2:$C$3000*Parti!$D$2:$D$3000*(Parti!$F$2:$F$3000+Parti!$J$2:$J$3000)))/60,0)</f>
        <v>11</v>
      </c>
      <c r="M159" s="5"/>
      <c r="N159" s="5" t="s">
        <v>42</v>
      </c>
      <c r="O159" s="5" t="s">
        <v>43</v>
      </c>
    </row>
    <row r="160" customFormat="false" ht="15" hidden="false" customHeight="false" outlineLevel="0" collapsed="false">
      <c r="A160" s="5" t="s">
        <v>554</v>
      </c>
      <c r="B160" s="5" t="s">
        <v>34</v>
      </c>
      <c r="C160" s="5" t="s">
        <v>428</v>
      </c>
      <c r="D160" s="5" t="s">
        <v>542</v>
      </c>
      <c r="E160" s="5" t="s">
        <v>139</v>
      </c>
      <c r="F160" s="5" t="s">
        <v>555</v>
      </c>
      <c r="G160" s="5" t="s">
        <v>556</v>
      </c>
      <c r="H160" s="5" t="s">
        <v>52</v>
      </c>
      <c r="I160" s="5" t="s">
        <v>53</v>
      </c>
      <c r="J160" s="5"/>
      <c r="K160" s="6" t="n">
        <f aca="false">SUMPRODUCT((Parti!$A$2:$A$3000=A160)*Parti!$C$2:$C$3000*Parti!$D$2:$D$3000*Parti!$E$2:$E$3000)</f>
        <v>800</v>
      </c>
      <c r="L160" s="6" t="n">
        <f aca="false">ROUND((K160*Legenda!$H$2/100+SUMPRODUCT((Parti!$A$2:$A$3000=A160)*Parti!$C$2:$C$3000*Parti!$D$2:$D$3000*(Parti!$F$2:$F$3000+Parti!$J$2:$J$3000)))/60,0)</f>
        <v>19</v>
      </c>
      <c r="M160" s="5"/>
      <c r="N160" s="5" t="s">
        <v>42</v>
      </c>
      <c r="O160" s="5" t="s">
        <v>43</v>
      </c>
    </row>
    <row r="161" customFormat="false" ht="15" hidden="false" customHeight="false" outlineLevel="0" collapsed="false">
      <c r="A161" s="5" t="s">
        <v>557</v>
      </c>
      <c r="B161" s="5" t="s">
        <v>34</v>
      </c>
      <c r="C161" s="5" t="s">
        <v>428</v>
      </c>
      <c r="D161" s="5" t="s">
        <v>542</v>
      </c>
      <c r="E161" s="5" t="s">
        <v>139</v>
      </c>
      <c r="F161" s="5" t="s">
        <v>558</v>
      </c>
      <c r="G161" s="5" t="s">
        <v>559</v>
      </c>
      <c r="H161" s="5" t="s">
        <v>48</v>
      </c>
      <c r="I161" s="5" t="s">
        <v>82</v>
      </c>
      <c r="J161" s="5"/>
      <c r="K161" s="6" t="n">
        <f aca="false">SUMPRODUCT((Parti!$A$2:$A$3000=A161)*Parti!$C$2:$C$3000*Parti!$D$2:$D$3000*Parti!$E$2:$E$3000)</f>
        <v>1200</v>
      </c>
      <c r="L161" s="6" t="n">
        <f aca="false">ROUND((K161*Legenda!$H$2/100+SUMPRODUCT((Parti!$A$2:$A$3000=A161)*Parti!$C$2:$C$3000*Parti!$D$2:$D$3000*(Parti!$F$2:$F$3000+Parti!$J$2:$J$3000)))/60,0)</f>
        <v>27</v>
      </c>
      <c r="M161" s="5"/>
      <c r="N161" s="5" t="s">
        <v>42</v>
      </c>
      <c r="O161" s="5" t="s">
        <v>43</v>
      </c>
    </row>
    <row r="162" customFormat="false" ht="15" hidden="false" customHeight="false" outlineLevel="0" collapsed="false">
      <c r="A162" s="5" t="s">
        <v>560</v>
      </c>
      <c r="B162" s="5" t="s">
        <v>69</v>
      </c>
      <c r="C162" s="5" t="s">
        <v>428</v>
      </c>
      <c r="D162" s="5" t="s">
        <v>542</v>
      </c>
      <c r="E162" s="5" t="s">
        <v>139</v>
      </c>
      <c r="F162" s="5" t="s">
        <v>561</v>
      </c>
      <c r="G162" s="5" t="s">
        <v>562</v>
      </c>
      <c r="H162" s="5" t="s">
        <v>115</v>
      </c>
      <c r="I162" s="5" t="s">
        <v>82</v>
      </c>
      <c r="J162" s="5"/>
      <c r="K162" s="6" t="n">
        <f aca="false">SUMPRODUCT((Parti!$A$2:$A$3000=A162)*Parti!$C$2:$C$3000*Parti!$D$2:$D$3000*Parti!$E$2:$E$3000)</f>
        <v>1200</v>
      </c>
      <c r="L162" s="6" t="n">
        <f aca="false">ROUND((K162*Legenda!$H$2/100+SUMPRODUCT((Parti!$A$2:$A$3000=A162)*Parti!$C$2:$C$3000*Parti!$D$2:$D$3000*(Parti!$F$2:$F$3000+Parti!$J$2:$J$3000)))/60,0)</f>
        <v>27</v>
      </c>
      <c r="M162" s="5"/>
      <c r="N162" s="5" t="s">
        <v>42</v>
      </c>
      <c r="O162" s="5" t="s">
        <v>43</v>
      </c>
    </row>
    <row r="163" customFormat="false" ht="15" hidden="false" customHeight="false" outlineLevel="0" collapsed="false">
      <c r="A163" s="5" t="s">
        <v>563</v>
      </c>
      <c r="B163" s="5" t="s">
        <v>69</v>
      </c>
      <c r="C163" s="5" t="s">
        <v>428</v>
      </c>
      <c r="D163" s="5" t="s">
        <v>542</v>
      </c>
      <c r="E163" s="5" t="s">
        <v>139</v>
      </c>
      <c r="F163" s="5" t="s">
        <v>564</v>
      </c>
      <c r="G163" s="5" t="s">
        <v>565</v>
      </c>
      <c r="H163" s="5" t="s">
        <v>119</v>
      </c>
      <c r="I163" s="5" t="s">
        <v>82</v>
      </c>
      <c r="J163" s="5"/>
      <c r="K163" s="6" t="n">
        <f aca="false">SUMPRODUCT((Parti!$A$2:$A$3000=A163)*Parti!$C$2:$C$3000*Parti!$D$2:$D$3000*Parti!$E$2:$E$3000)</f>
        <v>1200</v>
      </c>
      <c r="L163" s="6" t="n">
        <f aca="false">ROUND((K163*Legenda!$H$2/100+SUMPRODUCT((Parti!$A$2:$A$3000=A163)*Parti!$C$2:$C$3000*Parti!$D$2:$D$3000*(Parti!$F$2:$F$3000+Parti!$J$2:$J$3000)))/60,0)</f>
        <v>27</v>
      </c>
      <c r="M163" s="5"/>
      <c r="N163" s="5" t="s">
        <v>42</v>
      </c>
      <c r="O163" s="5" t="s">
        <v>43</v>
      </c>
    </row>
    <row r="164" customFormat="false" ht="15" hidden="false" customHeight="false" outlineLevel="0" collapsed="false">
      <c r="A164" s="5" t="s">
        <v>566</v>
      </c>
      <c r="B164" s="5" t="s">
        <v>69</v>
      </c>
      <c r="C164" s="5" t="s">
        <v>428</v>
      </c>
      <c r="D164" s="5" t="s">
        <v>542</v>
      </c>
      <c r="E164" s="5" t="s">
        <v>139</v>
      </c>
      <c r="F164" s="5" t="s">
        <v>567</v>
      </c>
      <c r="G164" s="5" t="s">
        <v>568</v>
      </c>
      <c r="H164" s="5" t="s">
        <v>123</v>
      </c>
      <c r="I164" s="5" t="s">
        <v>82</v>
      </c>
      <c r="J164" s="5"/>
      <c r="K164" s="6" t="n">
        <f aca="false">SUMPRODUCT((Parti!$A$2:$A$3000=A164)*Parti!$C$2:$C$3000*Parti!$D$2:$D$3000*Parti!$E$2:$E$3000)</f>
        <v>600</v>
      </c>
      <c r="L164" s="6" t="n">
        <f aca="false">ROUND((K164*Legenda!$H$2/100+SUMPRODUCT((Parti!$A$2:$A$3000=A164)*Parti!$C$2:$C$3000*Parti!$D$2:$D$3000*(Parti!$F$2:$F$3000+Parti!$J$2:$J$3000)))/60,0)</f>
        <v>16</v>
      </c>
      <c r="M164" s="5"/>
      <c r="N164" s="5" t="s">
        <v>42</v>
      </c>
      <c r="O164" s="5" t="s">
        <v>43</v>
      </c>
    </row>
    <row r="165" customFormat="false" ht="15" hidden="false" customHeight="false" outlineLevel="0" collapsed="false">
      <c r="A165" s="5" t="s">
        <v>569</v>
      </c>
      <c r="B165" s="5" t="s">
        <v>34</v>
      </c>
      <c r="C165" s="5" t="s">
        <v>428</v>
      </c>
      <c r="D165" s="5" t="s">
        <v>542</v>
      </c>
      <c r="E165" s="5" t="s">
        <v>139</v>
      </c>
      <c r="F165" s="5" t="s">
        <v>570</v>
      </c>
      <c r="G165" s="5" t="s">
        <v>571</v>
      </c>
      <c r="H165" s="5" t="s">
        <v>52</v>
      </c>
      <c r="I165" s="5" t="s">
        <v>82</v>
      </c>
      <c r="J165" s="5"/>
      <c r="K165" s="6" t="n">
        <f aca="false">SUMPRODUCT((Parti!$A$2:$A$3000=A165)*Parti!$C$2:$C$3000*Parti!$D$2:$D$3000*Parti!$E$2:$E$3000)</f>
        <v>1200</v>
      </c>
      <c r="L165" s="6" t="n">
        <f aca="false">ROUND((K165*Legenda!$H$2/100+SUMPRODUCT((Parti!$A$2:$A$3000=A165)*Parti!$C$2:$C$3000*Parti!$D$2:$D$3000*(Parti!$F$2:$F$3000+Parti!$J$2:$J$3000)))/60,0)</f>
        <v>27</v>
      </c>
      <c r="M165" s="5"/>
      <c r="N165" s="5" t="s">
        <v>42</v>
      </c>
      <c r="O165" s="5" t="s">
        <v>43</v>
      </c>
    </row>
    <row r="166" customFormat="false" ht="15" hidden="false" customHeight="false" outlineLevel="0" collapsed="false">
      <c r="A166" s="5" t="s">
        <v>572</v>
      </c>
      <c r="B166" s="5" t="s">
        <v>34</v>
      </c>
      <c r="C166" s="5" t="s">
        <v>428</v>
      </c>
      <c r="D166" s="5" t="s">
        <v>542</v>
      </c>
      <c r="E166" s="5" t="s">
        <v>139</v>
      </c>
      <c r="F166" s="5" t="s">
        <v>573</v>
      </c>
      <c r="G166" s="5" t="s">
        <v>574</v>
      </c>
      <c r="H166" s="5" t="s">
        <v>48</v>
      </c>
      <c r="I166" s="5" t="s">
        <v>53</v>
      </c>
      <c r="J166" s="5"/>
      <c r="K166" s="6" t="n">
        <f aca="false">SUMPRODUCT((Parti!$A$2:$A$3000=A166)*Parti!$C$2:$C$3000*Parti!$D$2:$D$3000*Parti!$E$2:$E$3000)</f>
        <v>600</v>
      </c>
      <c r="L166" s="6" t="n">
        <f aca="false">ROUND((K166*Legenda!$H$2/100+SUMPRODUCT((Parti!$A$2:$A$3000=A166)*Parti!$C$2:$C$3000*Parti!$D$2:$D$3000*(Parti!$F$2:$F$3000+Parti!$J$2:$J$3000)))/60,0)</f>
        <v>15</v>
      </c>
      <c r="M166" s="5"/>
      <c r="N166" s="5" t="s">
        <v>42</v>
      </c>
      <c r="O166" s="5" t="s">
        <v>43</v>
      </c>
    </row>
    <row r="167" customFormat="false" ht="15" hidden="false" customHeight="false" outlineLevel="0" collapsed="false">
      <c r="A167" s="5" t="s">
        <v>575</v>
      </c>
      <c r="B167" s="5" t="s">
        <v>69</v>
      </c>
      <c r="C167" s="5" t="s">
        <v>428</v>
      </c>
      <c r="D167" s="5" t="s">
        <v>542</v>
      </c>
      <c r="E167" s="5" t="s">
        <v>139</v>
      </c>
      <c r="F167" s="5" t="s">
        <v>576</v>
      </c>
      <c r="G167" s="5" t="s">
        <v>577</v>
      </c>
      <c r="H167" s="5" t="s">
        <v>115</v>
      </c>
      <c r="I167" s="5" t="s">
        <v>53</v>
      </c>
      <c r="J167" s="5"/>
      <c r="K167" s="6" t="n">
        <f aca="false">SUMPRODUCT((Parti!$A$2:$A$3000=A167)*Parti!$C$2:$C$3000*Parti!$D$2:$D$3000*Parti!$E$2:$E$3000)</f>
        <v>600</v>
      </c>
      <c r="L167" s="6" t="n">
        <f aca="false">ROUND((K167*Legenda!$H$2/100+SUMPRODUCT((Parti!$A$2:$A$3000=A167)*Parti!$C$2:$C$3000*Parti!$D$2:$D$3000*(Parti!$F$2:$F$3000+Parti!$J$2:$J$3000)))/60,0)</f>
        <v>15</v>
      </c>
      <c r="M167" s="5"/>
      <c r="N167" s="5" t="s">
        <v>42</v>
      </c>
      <c r="O167" s="5" t="s">
        <v>43</v>
      </c>
    </row>
    <row r="168" customFormat="false" ht="15" hidden="false" customHeight="false" outlineLevel="0" collapsed="false">
      <c r="A168" s="5" t="s">
        <v>578</v>
      </c>
      <c r="B168" s="5" t="s">
        <v>69</v>
      </c>
      <c r="C168" s="5" t="s">
        <v>428</v>
      </c>
      <c r="D168" s="5" t="s">
        <v>542</v>
      </c>
      <c r="E168" s="5" t="s">
        <v>139</v>
      </c>
      <c r="F168" s="5" t="s">
        <v>579</v>
      </c>
      <c r="G168" s="5" t="s">
        <v>580</v>
      </c>
      <c r="H168" s="5" t="s">
        <v>119</v>
      </c>
      <c r="I168" s="5" t="s">
        <v>53</v>
      </c>
      <c r="J168" s="5"/>
      <c r="K168" s="6" t="n">
        <f aca="false">SUMPRODUCT((Parti!$A$2:$A$3000=A168)*Parti!$C$2:$C$3000*Parti!$D$2:$D$3000*Parti!$E$2:$E$3000)</f>
        <v>600</v>
      </c>
      <c r="L168" s="6" t="n">
        <f aca="false">ROUND((K168*Legenda!$H$2/100+SUMPRODUCT((Parti!$A$2:$A$3000=A168)*Parti!$C$2:$C$3000*Parti!$D$2:$D$3000*(Parti!$F$2:$F$3000+Parti!$J$2:$J$3000)))/60,0)</f>
        <v>15</v>
      </c>
      <c r="M168" s="5"/>
      <c r="N168" s="5" t="s">
        <v>42</v>
      </c>
      <c r="O168" s="5" t="s">
        <v>43</v>
      </c>
    </row>
    <row r="169" customFormat="false" ht="15" hidden="false" customHeight="false" outlineLevel="0" collapsed="false">
      <c r="A169" s="5" t="s">
        <v>581</v>
      </c>
      <c r="B169" s="5" t="s">
        <v>69</v>
      </c>
      <c r="C169" s="5" t="s">
        <v>428</v>
      </c>
      <c r="D169" s="5" t="s">
        <v>542</v>
      </c>
      <c r="E169" s="5" t="s">
        <v>139</v>
      </c>
      <c r="F169" s="5" t="s">
        <v>582</v>
      </c>
      <c r="G169" s="5" t="s">
        <v>583</v>
      </c>
      <c r="H169" s="5" t="s">
        <v>123</v>
      </c>
      <c r="I169" s="5" t="s">
        <v>53</v>
      </c>
      <c r="J169" s="5"/>
      <c r="K169" s="6" t="n">
        <f aca="false">SUMPRODUCT((Parti!$A$2:$A$3000=A169)*Parti!$C$2:$C$3000*Parti!$D$2:$D$3000*Parti!$E$2:$E$3000)</f>
        <v>300</v>
      </c>
      <c r="L169" s="6" t="n">
        <f aca="false">ROUND((K169*Legenda!$H$2/100+SUMPRODUCT((Parti!$A$2:$A$3000=A169)*Parti!$C$2:$C$3000*Parti!$D$2:$D$3000*(Parti!$F$2:$F$3000+Parti!$J$2:$J$3000)))/60,0)</f>
        <v>8</v>
      </c>
      <c r="M169" s="5"/>
      <c r="N169" s="5" t="s">
        <v>42</v>
      </c>
      <c r="O169" s="5" t="s">
        <v>43</v>
      </c>
    </row>
    <row r="170" customFormat="false" ht="15" hidden="false" customHeight="false" outlineLevel="0" collapsed="false">
      <c r="A170" s="5" t="s">
        <v>584</v>
      </c>
      <c r="B170" s="5" t="s">
        <v>34</v>
      </c>
      <c r="C170" s="5" t="s">
        <v>428</v>
      </c>
      <c r="D170" s="5" t="s">
        <v>585</v>
      </c>
      <c r="E170" s="5" t="s">
        <v>586</v>
      </c>
      <c r="F170" s="5" t="s">
        <v>587</v>
      </c>
      <c r="G170" s="5" t="s">
        <v>588</v>
      </c>
      <c r="H170" s="5" t="s">
        <v>48</v>
      </c>
      <c r="I170" s="5" t="s">
        <v>53</v>
      </c>
      <c r="J170" s="5"/>
      <c r="K170" s="6" t="n">
        <f aca="false">SUMPRODUCT((Parti!$A$2:$A$3000=A170)*Parti!$C$2:$C$3000*Parti!$D$2:$D$3000*Parti!$E$2:$E$3000)</f>
        <v>600</v>
      </c>
      <c r="L170" s="6" t="n">
        <f aca="false">ROUND((K170*Legenda!$H$2/100+SUMPRODUCT((Parti!$A$2:$A$3000=A170)*Parti!$C$2:$C$3000*Parti!$D$2:$D$3000*(Parti!$F$2:$F$3000+Parti!$J$2:$J$3000)))/60,0)</f>
        <v>20</v>
      </c>
      <c r="M170" s="5"/>
      <c r="N170" s="5" t="s">
        <v>42</v>
      </c>
      <c r="O170" s="5" t="s">
        <v>43</v>
      </c>
    </row>
    <row r="171" customFormat="false" ht="15" hidden="false" customHeight="false" outlineLevel="0" collapsed="false">
      <c r="A171" s="5" t="s">
        <v>589</v>
      </c>
      <c r="B171" s="5" t="s">
        <v>69</v>
      </c>
      <c r="C171" s="5" t="s">
        <v>428</v>
      </c>
      <c r="D171" s="5" t="s">
        <v>585</v>
      </c>
      <c r="E171" s="5" t="s">
        <v>586</v>
      </c>
      <c r="F171" s="5" t="s">
        <v>590</v>
      </c>
      <c r="G171" s="5" t="s">
        <v>591</v>
      </c>
      <c r="H171" s="5" t="s">
        <v>115</v>
      </c>
      <c r="I171" s="5" t="s">
        <v>53</v>
      </c>
      <c r="J171" s="5"/>
      <c r="K171" s="6" t="n">
        <f aca="false">SUMPRODUCT((Parti!$A$2:$A$3000=A171)*Parti!$C$2:$C$3000*Parti!$D$2:$D$3000*Parti!$E$2:$E$3000)</f>
        <v>600</v>
      </c>
      <c r="L171" s="6" t="n">
        <f aca="false">ROUND((K171*Legenda!$H$2/100+SUMPRODUCT((Parti!$A$2:$A$3000=A171)*Parti!$C$2:$C$3000*Parti!$D$2:$D$3000*(Parti!$F$2:$F$3000+Parti!$J$2:$J$3000)))/60,0)</f>
        <v>20</v>
      </c>
      <c r="M171" s="5"/>
      <c r="N171" s="5" t="s">
        <v>42</v>
      </c>
      <c r="O171" s="5" t="s">
        <v>43</v>
      </c>
    </row>
    <row r="172" customFormat="false" ht="15" hidden="false" customHeight="false" outlineLevel="0" collapsed="false">
      <c r="A172" s="5" t="s">
        <v>592</v>
      </c>
      <c r="B172" s="5" t="s">
        <v>69</v>
      </c>
      <c r="C172" s="5" t="s">
        <v>428</v>
      </c>
      <c r="D172" s="5" t="s">
        <v>585</v>
      </c>
      <c r="E172" s="5" t="s">
        <v>586</v>
      </c>
      <c r="F172" s="5" t="s">
        <v>593</v>
      </c>
      <c r="G172" s="5" t="s">
        <v>594</v>
      </c>
      <c r="H172" s="5" t="s">
        <v>119</v>
      </c>
      <c r="I172" s="5" t="s">
        <v>53</v>
      </c>
      <c r="J172" s="5"/>
      <c r="K172" s="6" t="n">
        <f aca="false">SUMPRODUCT((Parti!$A$2:$A$3000=A172)*Parti!$C$2:$C$3000*Parti!$D$2:$D$3000*Parti!$E$2:$E$3000)</f>
        <v>600</v>
      </c>
      <c r="L172" s="6" t="n">
        <f aca="false">ROUND((K172*Legenda!$H$2/100+SUMPRODUCT((Parti!$A$2:$A$3000=A172)*Parti!$C$2:$C$3000*Parti!$D$2:$D$3000*(Parti!$F$2:$F$3000+Parti!$J$2:$J$3000)))/60,0)</f>
        <v>20</v>
      </c>
      <c r="M172" s="5"/>
      <c r="N172" s="5" t="s">
        <v>42</v>
      </c>
      <c r="O172" s="5" t="s">
        <v>43</v>
      </c>
    </row>
    <row r="173" customFormat="false" ht="15" hidden="false" customHeight="false" outlineLevel="0" collapsed="false">
      <c r="A173" s="5" t="s">
        <v>595</v>
      </c>
      <c r="B173" s="5" t="s">
        <v>69</v>
      </c>
      <c r="C173" s="5" t="s">
        <v>428</v>
      </c>
      <c r="D173" s="5" t="s">
        <v>585</v>
      </c>
      <c r="E173" s="5" t="s">
        <v>586</v>
      </c>
      <c r="F173" s="5" t="s">
        <v>596</v>
      </c>
      <c r="G173" s="5" t="s">
        <v>597</v>
      </c>
      <c r="H173" s="5" t="s">
        <v>123</v>
      </c>
      <c r="I173" s="5" t="s">
        <v>53</v>
      </c>
      <c r="J173" s="5"/>
      <c r="K173" s="6" t="n">
        <f aca="false">SUMPRODUCT((Parti!$A$2:$A$3000=A173)*Parti!$C$2:$C$3000*Parti!$D$2:$D$3000*Parti!$E$2:$E$3000)</f>
        <v>300</v>
      </c>
      <c r="L173" s="6" t="n">
        <f aca="false">ROUND((K173*Legenda!$H$2/100+SUMPRODUCT((Parti!$A$2:$A$3000=A173)*Parti!$C$2:$C$3000*Parti!$D$2:$D$3000*(Parti!$F$2:$F$3000+Parti!$J$2:$J$3000)))/60,0)</f>
        <v>15</v>
      </c>
      <c r="M173" s="5"/>
      <c r="N173" s="5" t="s">
        <v>42</v>
      </c>
      <c r="O173" s="5" t="s">
        <v>43</v>
      </c>
    </row>
    <row r="174" customFormat="false" ht="15" hidden="false" customHeight="false" outlineLevel="0" collapsed="false">
      <c r="A174" s="5" t="s">
        <v>598</v>
      </c>
      <c r="B174" s="5" t="s">
        <v>34</v>
      </c>
      <c r="C174" s="5" t="s">
        <v>428</v>
      </c>
      <c r="D174" s="5" t="s">
        <v>585</v>
      </c>
      <c r="E174" s="5" t="s">
        <v>586</v>
      </c>
      <c r="F174" s="5" t="s">
        <v>599</v>
      </c>
      <c r="G174" s="5" t="s">
        <v>600</v>
      </c>
      <c r="H174" s="5" t="s">
        <v>52</v>
      </c>
      <c r="I174" s="5" t="s">
        <v>53</v>
      </c>
      <c r="J174" s="5"/>
      <c r="K174" s="6" t="n">
        <f aca="false">SUMPRODUCT((Parti!$A$2:$A$3000=A174)*Parti!$C$2:$C$3000*Parti!$D$2:$D$3000*Parti!$E$2:$E$3000)</f>
        <v>600</v>
      </c>
      <c r="L174" s="6" t="n">
        <f aca="false">ROUND((K174*Legenda!$H$2/100+SUMPRODUCT((Parti!$A$2:$A$3000=A174)*Parti!$C$2:$C$3000*Parti!$D$2:$D$3000*(Parti!$F$2:$F$3000+Parti!$J$2:$J$3000)))/60,0)</f>
        <v>20</v>
      </c>
      <c r="M174" s="5"/>
      <c r="N174" s="5" t="s">
        <v>42</v>
      </c>
      <c r="O174" s="5" t="s">
        <v>43</v>
      </c>
    </row>
    <row r="175" customFormat="false" ht="15" hidden="false" customHeight="false" outlineLevel="0" collapsed="false">
      <c r="A175" s="5" t="s">
        <v>601</v>
      </c>
      <c r="B175" s="5" t="s">
        <v>34</v>
      </c>
      <c r="C175" s="5" t="s">
        <v>428</v>
      </c>
      <c r="D175" s="5" t="s">
        <v>585</v>
      </c>
      <c r="E175" s="5" t="s">
        <v>586</v>
      </c>
      <c r="F175" s="5" t="s">
        <v>602</v>
      </c>
      <c r="G175" s="5" t="s">
        <v>603</v>
      </c>
      <c r="H175" s="5" t="s">
        <v>48</v>
      </c>
      <c r="I175" s="5" t="s">
        <v>53</v>
      </c>
      <c r="J175" s="5"/>
      <c r="K175" s="6" t="n">
        <f aca="false">SUMPRODUCT((Parti!$A$2:$A$3000=A175)*Parti!$C$2:$C$3000*Parti!$D$2:$D$3000*Parti!$E$2:$E$3000)</f>
        <v>400</v>
      </c>
      <c r="L175" s="6" t="n">
        <f aca="false">ROUND((K175*Legenda!$H$2/100+SUMPRODUCT((Parti!$A$2:$A$3000=A175)*Parti!$C$2:$C$3000*Parti!$D$2:$D$3000*(Parti!$F$2:$F$3000+Parti!$J$2:$J$3000)))/60,0)</f>
        <v>15</v>
      </c>
      <c r="M175" s="5"/>
      <c r="N175" s="5" t="s">
        <v>42</v>
      </c>
      <c r="O175" s="5" t="s">
        <v>43</v>
      </c>
    </row>
    <row r="176" customFormat="false" ht="15" hidden="false" customHeight="false" outlineLevel="0" collapsed="false">
      <c r="A176" s="5" t="s">
        <v>604</v>
      </c>
      <c r="B176" s="5" t="s">
        <v>69</v>
      </c>
      <c r="C176" s="5" t="s">
        <v>428</v>
      </c>
      <c r="D176" s="5" t="s">
        <v>585</v>
      </c>
      <c r="E176" s="5" t="s">
        <v>586</v>
      </c>
      <c r="F176" s="5" t="s">
        <v>605</v>
      </c>
      <c r="G176" s="5" t="s">
        <v>606</v>
      </c>
      <c r="H176" s="5" t="s">
        <v>115</v>
      </c>
      <c r="I176" s="5" t="s">
        <v>53</v>
      </c>
      <c r="J176" s="5"/>
      <c r="K176" s="6" t="n">
        <f aca="false">SUMPRODUCT((Parti!$A$2:$A$3000=A176)*Parti!$C$2:$C$3000*Parti!$D$2:$D$3000*Parti!$E$2:$E$3000)</f>
        <v>400</v>
      </c>
      <c r="L176" s="6" t="n">
        <f aca="false">ROUND((K176*Legenda!$H$2/100+SUMPRODUCT((Parti!$A$2:$A$3000=A176)*Parti!$C$2:$C$3000*Parti!$D$2:$D$3000*(Parti!$F$2:$F$3000+Parti!$J$2:$J$3000)))/60,0)</f>
        <v>15</v>
      </c>
      <c r="M176" s="5"/>
      <c r="N176" s="5" t="s">
        <v>42</v>
      </c>
      <c r="O176" s="5" t="s">
        <v>43</v>
      </c>
    </row>
    <row r="177" customFormat="false" ht="15" hidden="false" customHeight="false" outlineLevel="0" collapsed="false">
      <c r="A177" s="5" t="s">
        <v>607</v>
      </c>
      <c r="B177" s="5" t="s">
        <v>69</v>
      </c>
      <c r="C177" s="5" t="s">
        <v>428</v>
      </c>
      <c r="D177" s="5" t="s">
        <v>585</v>
      </c>
      <c r="E177" s="5" t="s">
        <v>586</v>
      </c>
      <c r="F177" s="5" t="s">
        <v>608</v>
      </c>
      <c r="G177" s="5" t="s">
        <v>609</v>
      </c>
      <c r="H177" s="5" t="s">
        <v>119</v>
      </c>
      <c r="I177" s="5" t="s">
        <v>53</v>
      </c>
      <c r="J177" s="5"/>
      <c r="K177" s="6" t="n">
        <f aca="false">SUMPRODUCT((Parti!$A$2:$A$3000=A177)*Parti!$C$2:$C$3000*Parti!$D$2:$D$3000*Parti!$E$2:$E$3000)</f>
        <v>400</v>
      </c>
      <c r="L177" s="6" t="n">
        <f aca="false">ROUND((K177*Legenda!$H$2/100+SUMPRODUCT((Parti!$A$2:$A$3000=A177)*Parti!$C$2:$C$3000*Parti!$D$2:$D$3000*(Parti!$F$2:$F$3000+Parti!$J$2:$J$3000)))/60,0)</f>
        <v>15</v>
      </c>
      <c r="M177" s="5"/>
      <c r="N177" s="5" t="s">
        <v>42</v>
      </c>
      <c r="O177" s="5" t="s">
        <v>43</v>
      </c>
    </row>
    <row r="178" customFormat="false" ht="15" hidden="false" customHeight="false" outlineLevel="0" collapsed="false">
      <c r="A178" s="5" t="s">
        <v>610</v>
      </c>
      <c r="B178" s="5" t="s">
        <v>69</v>
      </c>
      <c r="C178" s="5" t="s">
        <v>428</v>
      </c>
      <c r="D178" s="5" t="s">
        <v>585</v>
      </c>
      <c r="E178" s="5" t="s">
        <v>586</v>
      </c>
      <c r="F178" s="5" t="s">
        <v>611</v>
      </c>
      <c r="G178" s="5" t="s">
        <v>612</v>
      </c>
      <c r="H178" s="5" t="s">
        <v>123</v>
      </c>
      <c r="I178" s="5" t="s">
        <v>53</v>
      </c>
      <c r="J178" s="5"/>
      <c r="K178" s="6" t="n">
        <f aca="false">SUMPRODUCT((Parti!$A$2:$A$3000=A178)*Parti!$C$2:$C$3000*Parti!$D$2:$D$3000*Parti!$E$2:$E$3000)</f>
        <v>400</v>
      </c>
      <c r="L178" s="6" t="n">
        <f aca="false">ROUND((K178*Legenda!$H$2/100+SUMPRODUCT((Parti!$A$2:$A$3000=A178)*Parti!$C$2:$C$3000*Parti!$D$2:$D$3000*(Parti!$F$2:$F$3000+Parti!$J$2:$J$3000)))/60,0)</f>
        <v>15</v>
      </c>
      <c r="M178" s="5"/>
      <c r="N178" s="5" t="s">
        <v>42</v>
      </c>
      <c r="O178" s="5" t="s">
        <v>43</v>
      </c>
    </row>
    <row r="179" customFormat="false" ht="15" hidden="false" customHeight="false" outlineLevel="0" collapsed="false">
      <c r="A179" s="5" t="s">
        <v>613</v>
      </c>
      <c r="B179" s="5" t="s">
        <v>34</v>
      </c>
      <c r="C179" s="5" t="s">
        <v>428</v>
      </c>
      <c r="D179" s="5" t="s">
        <v>585</v>
      </c>
      <c r="E179" s="5" t="s">
        <v>586</v>
      </c>
      <c r="F179" s="5" t="s">
        <v>614</v>
      </c>
      <c r="G179" s="5" t="s">
        <v>615</v>
      </c>
      <c r="H179" s="5" t="s">
        <v>48</v>
      </c>
      <c r="I179" s="5" t="s">
        <v>53</v>
      </c>
      <c r="J179" s="5"/>
      <c r="K179" s="6" t="n">
        <f aca="false">SUMPRODUCT((Parti!$A$2:$A$3000=A179)*Parti!$C$2:$C$3000*Parti!$D$2:$D$3000*Parti!$E$2:$E$3000)</f>
        <v>300</v>
      </c>
      <c r="L179" s="6" t="n">
        <f aca="false">ROUND((K179*Legenda!$H$2/100+SUMPRODUCT((Parti!$A$2:$A$3000=A179)*Parti!$C$2:$C$3000*Parti!$D$2:$D$3000*(Parti!$F$2:$F$3000+Parti!$J$2:$J$3000)))/60,0)</f>
        <v>12</v>
      </c>
      <c r="M179" s="5"/>
      <c r="N179" s="5" t="s">
        <v>42</v>
      </c>
      <c r="O179" s="5" t="s">
        <v>43</v>
      </c>
    </row>
    <row r="180" customFormat="false" ht="15" hidden="false" customHeight="false" outlineLevel="0" collapsed="false">
      <c r="A180" s="5" t="s">
        <v>616</v>
      </c>
      <c r="B180" s="5" t="s">
        <v>69</v>
      </c>
      <c r="C180" s="5" t="s">
        <v>428</v>
      </c>
      <c r="D180" s="5" t="s">
        <v>585</v>
      </c>
      <c r="E180" s="5" t="s">
        <v>586</v>
      </c>
      <c r="F180" s="5" t="s">
        <v>617</v>
      </c>
      <c r="G180" s="5" t="s">
        <v>618</v>
      </c>
      <c r="H180" s="5" t="s">
        <v>115</v>
      </c>
      <c r="I180" s="5" t="s">
        <v>53</v>
      </c>
      <c r="J180" s="5"/>
      <c r="K180" s="6" t="n">
        <f aca="false">SUMPRODUCT((Parti!$A$2:$A$3000=A180)*Parti!$C$2:$C$3000*Parti!$D$2:$D$3000*Parti!$E$2:$E$3000)</f>
        <v>300</v>
      </c>
      <c r="L180" s="6" t="n">
        <f aca="false">ROUND((K180*Legenda!$H$2/100+SUMPRODUCT((Parti!$A$2:$A$3000=A180)*Parti!$C$2:$C$3000*Parti!$D$2:$D$3000*(Parti!$F$2:$F$3000+Parti!$J$2:$J$3000)))/60,0)</f>
        <v>12</v>
      </c>
      <c r="M180" s="5"/>
      <c r="N180" s="5" t="s">
        <v>42</v>
      </c>
      <c r="O180" s="5" t="s">
        <v>43</v>
      </c>
    </row>
    <row r="181" customFormat="false" ht="15" hidden="false" customHeight="false" outlineLevel="0" collapsed="false">
      <c r="A181" s="5" t="s">
        <v>619</v>
      </c>
      <c r="B181" s="5" t="s">
        <v>69</v>
      </c>
      <c r="C181" s="5" t="s">
        <v>428</v>
      </c>
      <c r="D181" s="5" t="s">
        <v>585</v>
      </c>
      <c r="E181" s="5" t="s">
        <v>586</v>
      </c>
      <c r="F181" s="5" t="s">
        <v>620</v>
      </c>
      <c r="G181" s="5" t="s">
        <v>621</v>
      </c>
      <c r="H181" s="5" t="s">
        <v>119</v>
      </c>
      <c r="I181" s="5" t="s">
        <v>53</v>
      </c>
      <c r="J181" s="5"/>
      <c r="K181" s="6" t="n">
        <f aca="false">SUMPRODUCT((Parti!$A$2:$A$3000=A181)*Parti!$C$2:$C$3000*Parti!$D$2:$D$3000*Parti!$E$2:$E$3000)</f>
        <v>300</v>
      </c>
      <c r="L181" s="6" t="n">
        <f aca="false">ROUND((K181*Legenda!$H$2/100+SUMPRODUCT((Parti!$A$2:$A$3000=A181)*Parti!$C$2:$C$3000*Parti!$D$2:$D$3000*(Parti!$F$2:$F$3000+Parti!$J$2:$J$3000)))/60,0)</f>
        <v>12</v>
      </c>
      <c r="M181" s="5"/>
      <c r="N181" s="5" t="s">
        <v>42</v>
      </c>
      <c r="O181" s="5" t="s">
        <v>43</v>
      </c>
    </row>
    <row r="182" customFormat="false" ht="15" hidden="false" customHeight="false" outlineLevel="0" collapsed="false">
      <c r="A182" s="5" t="s">
        <v>622</v>
      </c>
      <c r="B182" s="5" t="s">
        <v>69</v>
      </c>
      <c r="C182" s="5" t="s">
        <v>428</v>
      </c>
      <c r="D182" s="5" t="s">
        <v>585</v>
      </c>
      <c r="E182" s="5" t="s">
        <v>586</v>
      </c>
      <c r="F182" s="5" t="s">
        <v>623</v>
      </c>
      <c r="G182" s="5" t="s">
        <v>624</v>
      </c>
      <c r="H182" s="5" t="s">
        <v>123</v>
      </c>
      <c r="I182" s="5" t="s">
        <v>53</v>
      </c>
      <c r="J182" s="5"/>
      <c r="K182" s="6" t="n">
        <f aca="false">SUMPRODUCT((Parti!$A$2:$A$3000=A182)*Parti!$C$2:$C$3000*Parti!$D$2:$D$3000*Parti!$E$2:$E$3000)</f>
        <v>300</v>
      </c>
      <c r="L182" s="6" t="n">
        <f aca="false">ROUND((K182*Legenda!$H$2/100+SUMPRODUCT((Parti!$A$2:$A$3000=A182)*Parti!$C$2:$C$3000*Parti!$D$2:$D$3000*(Parti!$F$2:$F$3000+Parti!$J$2:$J$3000)))/60,0)</f>
        <v>12</v>
      </c>
      <c r="M182" s="5"/>
      <c r="N182" s="5" t="s">
        <v>42</v>
      </c>
      <c r="O182" s="5" t="s">
        <v>43</v>
      </c>
    </row>
    <row r="183" customFormat="false" ht="15" hidden="false" customHeight="false" outlineLevel="0" collapsed="false">
      <c r="A183" s="5" t="s">
        <v>625</v>
      </c>
      <c r="B183" s="5" t="s">
        <v>34</v>
      </c>
      <c r="C183" s="5" t="s">
        <v>428</v>
      </c>
      <c r="D183" s="5" t="s">
        <v>585</v>
      </c>
      <c r="E183" s="5" t="s">
        <v>423</v>
      </c>
      <c r="F183" s="5" t="s">
        <v>626</v>
      </c>
      <c r="G183" s="5" t="s">
        <v>627</v>
      </c>
      <c r="H183" s="5" t="s">
        <v>48</v>
      </c>
      <c r="I183" s="5" t="s">
        <v>53</v>
      </c>
      <c r="J183" s="5"/>
      <c r="K183" s="6" t="n">
        <f aca="false">SUMPRODUCT((Parti!$A$2:$A$3000=A183)*Parti!$C$2:$C$3000*Parti!$D$2:$D$3000*Parti!$E$2:$E$3000)</f>
        <v>200</v>
      </c>
      <c r="L183" s="6" t="n">
        <f aca="false">ROUND((K183*Legenda!$H$2/100+SUMPRODUCT((Parti!$A$2:$A$3000=A183)*Parti!$C$2:$C$3000*Parti!$D$2:$D$3000*(Parti!$F$2:$F$3000+Parti!$J$2:$J$3000)))/60,0)</f>
        <v>16</v>
      </c>
      <c r="M183" s="5"/>
      <c r="N183" s="5" t="s">
        <v>42</v>
      </c>
      <c r="O183" s="5" t="s">
        <v>43</v>
      </c>
    </row>
    <row r="184" customFormat="false" ht="15" hidden="false" customHeight="false" outlineLevel="0" collapsed="false">
      <c r="A184" s="5" t="s">
        <v>628</v>
      </c>
      <c r="B184" s="5" t="s">
        <v>69</v>
      </c>
      <c r="C184" s="5" t="s">
        <v>428</v>
      </c>
      <c r="D184" s="5" t="s">
        <v>585</v>
      </c>
      <c r="E184" s="5" t="s">
        <v>423</v>
      </c>
      <c r="F184" s="5" t="s">
        <v>629</v>
      </c>
      <c r="G184" s="5" t="s">
        <v>630</v>
      </c>
      <c r="H184" s="5" t="s">
        <v>115</v>
      </c>
      <c r="I184" s="5" t="s">
        <v>53</v>
      </c>
      <c r="J184" s="5"/>
      <c r="K184" s="6" t="n">
        <f aca="false">SUMPRODUCT((Parti!$A$2:$A$3000=A184)*Parti!$C$2:$C$3000*Parti!$D$2:$D$3000*Parti!$E$2:$E$3000)</f>
        <v>200</v>
      </c>
      <c r="L184" s="6" t="n">
        <f aca="false">ROUND((K184*Legenda!$H$2/100+SUMPRODUCT((Parti!$A$2:$A$3000=A184)*Parti!$C$2:$C$3000*Parti!$D$2:$D$3000*(Parti!$F$2:$F$3000+Parti!$J$2:$J$3000)))/60,0)</f>
        <v>16</v>
      </c>
      <c r="M184" s="5"/>
      <c r="N184" s="5" t="s">
        <v>42</v>
      </c>
      <c r="O184" s="5" t="s">
        <v>43</v>
      </c>
    </row>
    <row r="185" customFormat="false" ht="15" hidden="false" customHeight="false" outlineLevel="0" collapsed="false">
      <c r="A185" s="5" t="s">
        <v>631</v>
      </c>
      <c r="B185" s="5" t="s">
        <v>69</v>
      </c>
      <c r="C185" s="5" t="s">
        <v>428</v>
      </c>
      <c r="D185" s="5" t="s">
        <v>585</v>
      </c>
      <c r="E185" s="5" t="s">
        <v>423</v>
      </c>
      <c r="F185" s="5" t="s">
        <v>632</v>
      </c>
      <c r="G185" s="5" t="s">
        <v>633</v>
      </c>
      <c r="H185" s="5" t="s">
        <v>119</v>
      </c>
      <c r="I185" s="5" t="s">
        <v>53</v>
      </c>
      <c r="J185" s="5"/>
      <c r="K185" s="6" t="n">
        <f aca="false">SUMPRODUCT((Parti!$A$2:$A$3000=A185)*Parti!$C$2:$C$3000*Parti!$D$2:$D$3000*Parti!$E$2:$E$3000)</f>
        <v>200</v>
      </c>
      <c r="L185" s="6" t="n">
        <f aca="false">ROUND((K185*Legenda!$H$2/100+SUMPRODUCT((Parti!$A$2:$A$3000=A185)*Parti!$C$2:$C$3000*Parti!$D$2:$D$3000*(Parti!$F$2:$F$3000+Parti!$J$2:$J$3000)))/60,0)</f>
        <v>16</v>
      </c>
      <c r="M185" s="5"/>
      <c r="N185" s="5" t="s">
        <v>42</v>
      </c>
      <c r="O185" s="5" t="s">
        <v>43</v>
      </c>
    </row>
    <row r="186" customFormat="false" ht="15" hidden="false" customHeight="false" outlineLevel="0" collapsed="false">
      <c r="A186" s="5" t="s">
        <v>634</v>
      </c>
      <c r="B186" s="5" t="s">
        <v>69</v>
      </c>
      <c r="C186" s="5" t="s">
        <v>428</v>
      </c>
      <c r="D186" s="5" t="s">
        <v>585</v>
      </c>
      <c r="E186" s="5" t="s">
        <v>423</v>
      </c>
      <c r="F186" s="5" t="s">
        <v>635</v>
      </c>
      <c r="G186" s="5" t="s">
        <v>636</v>
      </c>
      <c r="H186" s="5" t="s">
        <v>123</v>
      </c>
      <c r="I186" s="5" t="s">
        <v>53</v>
      </c>
      <c r="J186" s="5"/>
      <c r="K186" s="6" t="n">
        <f aca="false">SUMPRODUCT((Parti!$A$2:$A$3000=A186)*Parti!$C$2:$C$3000*Parti!$D$2:$D$3000*Parti!$E$2:$E$3000)</f>
        <v>200</v>
      </c>
      <c r="L186" s="6" t="n">
        <f aca="false">ROUND((K186*Legenda!$H$2/100+SUMPRODUCT((Parti!$A$2:$A$3000=A186)*Parti!$C$2:$C$3000*Parti!$D$2:$D$3000*(Parti!$F$2:$F$3000+Parti!$J$2:$J$3000)))/60,0)</f>
        <v>16</v>
      </c>
      <c r="M186" s="5"/>
      <c r="N186" s="5" t="s">
        <v>42</v>
      </c>
      <c r="O186" s="5" t="s">
        <v>43</v>
      </c>
    </row>
    <row r="187" customFormat="false" ht="15" hidden="false" customHeight="false" outlineLevel="0" collapsed="false">
      <c r="A187" s="5" t="s">
        <v>637</v>
      </c>
      <c r="B187" s="5" t="s">
        <v>34</v>
      </c>
      <c r="C187" s="5" t="s">
        <v>428</v>
      </c>
      <c r="D187" s="5" t="s">
        <v>585</v>
      </c>
      <c r="E187" s="5" t="s">
        <v>423</v>
      </c>
      <c r="F187" s="5" t="s">
        <v>638</v>
      </c>
      <c r="G187" s="5" t="s">
        <v>639</v>
      </c>
      <c r="H187" s="5" t="s">
        <v>48</v>
      </c>
      <c r="I187" s="5" t="s">
        <v>82</v>
      </c>
      <c r="J187" s="5"/>
      <c r="K187" s="6" t="n">
        <f aca="false">SUMPRODUCT((Parti!$A$2:$A$3000=A187)*Parti!$C$2:$C$3000*Parti!$D$2:$D$3000*Parti!$E$2:$E$3000)</f>
        <v>300</v>
      </c>
      <c r="L187" s="6" t="n">
        <f aca="false">ROUND((K187*Legenda!$H$2/100+SUMPRODUCT((Parti!$A$2:$A$3000=A187)*Parti!$C$2:$C$3000*Parti!$D$2:$D$3000*(Parti!$F$2:$F$3000+Parti!$J$2:$J$3000)))/60,0)</f>
        <v>21</v>
      </c>
      <c r="M187" s="5"/>
      <c r="N187" s="5" t="s">
        <v>42</v>
      </c>
      <c r="O187" s="5" t="s">
        <v>43</v>
      </c>
    </row>
    <row r="188" customFormat="false" ht="15" hidden="false" customHeight="false" outlineLevel="0" collapsed="false">
      <c r="A188" s="5" t="s">
        <v>640</v>
      </c>
      <c r="B188" s="5" t="s">
        <v>69</v>
      </c>
      <c r="C188" s="5" t="s">
        <v>428</v>
      </c>
      <c r="D188" s="5" t="s">
        <v>585</v>
      </c>
      <c r="E188" s="5" t="s">
        <v>423</v>
      </c>
      <c r="F188" s="5" t="s">
        <v>641</v>
      </c>
      <c r="G188" s="5" t="s">
        <v>642</v>
      </c>
      <c r="H188" s="5" t="s">
        <v>115</v>
      </c>
      <c r="I188" s="5" t="s">
        <v>82</v>
      </c>
      <c r="J188" s="5"/>
      <c r="K188" s="6" t="n">
        <f aca="false">SUMPRODUCT((Parti!$A$2:$A$3000=A188)*Parti!$C$2:$C$3000*Parti!$D$2:$D$3000*Parti!$E$2:$E$3000)</f>
        <v>300</v>
      </c>
      <c r="L188" s="6" t="n">
        <f aca="false">ROUND((K188*Legenda!$H$2/100+SUMPRODUCT((Parti!$A$2:$A$3000=A188)*Parti!$C$2:$C$3000*Parti!$D$2:$D$3000*(Parti!$F$2:$F$3000+Parti!$J$2:$J$3000)))/60,0)</f>
        <v>21</v>
      </c>
      <c r="M188" s="5"/>
      <c r="N188" s="5" t="s">
        <v>42</v>
      </c>
      <c r="O188" s="5" t="s">
        <v>43</v>
      </c>
    </row>
    <row r="189" customFormat="false" ht="15" hidden="false" customHeight="false" outlineLevel="0" collapsed="false">
      <c r="A189" s="5" t="s">
        <v>643</v>
      </c>
      <c r="B189" s="5" t="s">
        <v>69</v>
      </c>
      <c r="C189" s="5" t="s">
        <v>428</v>
      </c>
      <c r="D189" s="5" t="s">
        <v>585</v>
      </c>
      <c r="E189" s="5" t="s">
        <v>423</v>
      </c>
      <c r="F189" s="5" t="s">
        <v>644</v>
      </c>
      <c r="G189" s="5" t="s">
        <v>645</v>
      </c>
      <c r="H189" s="5" t="s">
        <v>119</v>
      </c>
      <c r="I189" s="5" t="s">
        <v>82</v>
      </c>
      <c r="J189" s="5"/>
      <c r="K189" s="6" t="n">
        <f aca="false">SUMPRODUCT((Parti!$A$2:$A$3000=A189)*Parti!$C$2:$C$3000*Parti!$D$2:$D$3000*Parti!$E$2:$E$3000)</f>
        <v>300</v>
      </c>
      <c r="L189" s="6" t="n">
        <f aca="false">ROUND((K189*Legenda!$H$2/100+SUMPRODUCT((Parti!$A$2:$A$3000=A189)*Parti!$C$2:$C$3000*Parti!$D$2:$D$3000*(Parti!$F$2:$F$3000+Parti!$J$2:$J$3000)))/60,0)</f>
        <v>21</v>
      </c>
      <c r="M189" s="5"/>
      <c r="N189" s="5" t="s">
        <v>42</v>
      </c>
      <c r="O189" s="5" t="s">
        <v>43</v>
      </c>
    </row>
    <row r="190" customFormat="false" ht="15" hidden="false" customHeight="false" outlineLevel="0" collapsed="false">
      <c r="A190" s="5" t="s">
        <v>646</v>
      </c>
      <c r="B190" s="5" t="s">
        <v>69</v>
      </c>
      <c r="C190" s="5" t="s">
        <v>428</v>
      </c>
      <c r="D190" s="5" t="s">
        <v>585</v>
      </c>
      <c r="E190" s="5" t="s">
        <v>423</v>
      </c>
      <c r="F190" s="5" t="s">
        <v>647</v>
      </c>
      <c r="G190" s="5" t="s">
        <v>648</v>
      </c>
      <c r="H190" s="5" t="s">
        <v>123</v>
      </c>
      <c r="I190" s="5" t="s">
        <v>82</v>
      </c>
      <c r="J190" s="5"/>
      <c r="K190" s="6" t="n">
        <f aca="false">SUMPRODUCT((Parti!$A$2:$A$3000=A190)*Parti!$C$2:$C$3000*Parti!$D$2:$D$3000*Parti!$E$2:$E$3000)</f>
        <v>150</v>
      </c>
      <c r="L190" s="6" t="n">
        <f aca="false">ROUND((K190*Legenda!$H$2/100+SUMPRODUCT((Parti!$A$2:$A$3000=A190)*Parti!$C$2:$C$3000*Parti!$D$2:$D$3000*(Parti!$F$2:$F$3000+Parti!$J$2:$J$3000)))/60,0)</f>
        <v>18</v>
      </c>
      <c r="M190" s="5"/>
      <c r="N190" s="5" t="s">
        <v>42</v>
      </c>
      <c r="O190" s="5" t="s">
        <v>43</v>
      </c>
    </row>
    <row r="191" customFormat="false" ht="15" hidden="false" customHeight="false" outlineLevel="0" collapsed="false">
      <c r="A191" s="5" t="s">
        <v>649</v>
      </c>
      <c r="B191" s="5" t="s">
        <v>34</v>
      </c>
      <c r="C191" s="5" t="s">
        <v>428</v>
      </c>
      <c r="D191" s="5" t="s">
        <v>585</v>
      </c>
      <c r="E191" s="5" t="s">
        <v>423</v>
      </c>
      <c r="F191" s="5" t="s">
        <v>650</v>
      </c>
      <c r="G191" s="5" t="s">
        <v>651</v>
      </c>
      <c r="H191" s="5" t="s">
        <v>52</v>
      </c>
      <c r="I191" s="5" t="s">
        <v>82</v>
      </c>
      <c r="J191" s="5"/>
      <c r="K191" s="6" t="n">
        <f aca="false">SUMPRODUCT((Parti!$A$2:$A$3000=A191)*Parti!$C$2:$C$3000*Parti!$D$2:$D$3000*Parti!$E$2:$E$3000)</f>
        <v>300</v>
      </c>
      <c r="L191" s="6" t="n">
        <f aca="false">ROUND((K191*Legenda!$H$2/100+SUMPRODUCT((Parti!$A$2:$A$3000=A191)*Parti!$C$2:$C$3000*Parti!$D$2:$D$3000*(Parti!$F$2:$F$3000+Parti!$J$2:$J$3000)))/60,0)</f>
        <v>21</v>
      </c>
      <c r="M191" s="5"/>
      <c r="N191" s="5" t="s">
        <v>42</v>
      </c>
      <c r="O191" s="5" t="s">
        <v>43</v>
      </c>
    </row>
    <row r="192" customFormat="false" ht="15" hidden="false" customHeight="false" outlineLevel="0" collapsed="false">
      <c r="A192" s="5" t="s">
        <v>652</v>
      </c>
      <c r="B192" s="5" t="s">
        <v>69</v>
      </c>
      <c r="C192" s="5" t="s">
        <v>428</v>
      </c>
      <c r="D192" s="5" t="s">
        <v>585</v>
      </c>
      <c r="E192" s="5" t="s">
        <v>423</v>
      </c>
      <c r="F192" s="5" t="s">
        <v>653</v>
      </c>
      <c r="G192" s="5" t="s">
        <v>654</v>
      </c>
      <c r="H192" s="5" t="s">
        <v>48</v>
      </c>
      <c r="I192" s="5" t="s">
        <v>53</v>
      </c>
      <c r="J192" s="5"/>
      <c r="K192" s="6" t="n">
        <f aca="false">SUMPRODUCT((Parti!$A$2:$A$3000=A192)*Parti!$C$2:$C$3000*Parti!$D$2:$D$3000*Parti!$E$2:$E$3000)</f>
        <v>150</v>
      </c>
      <c r="L192" s="6" t="n">
        <f aca="false">ROUND((K192*Legenda!$H$2/100+SUMPRODUCT((Parti!$A$2:$A$3000=A192)*Parti!$C$2:$C$3000*Parti!$D$2:$D$3000*(Parti!$F$2:$F$3000+Parti!$J$2:$J$3000)))/60,0)</f>
        <v>15</v>
      </c>
      <c r="M192" s="5"/>
      <c r="N192" s="5" t="s">
        <v>42</v>
      </c>
      <c r="O192" s="5" t="s">
        <v>43</v>
      </c>
    </row>
    <row r="193" customFormat="false" ht="15" hidden="false" customHeight="false" outlineLevel="0" collapsed="false">
      <c r="A193" s="5" t="s">
        <v>655</v>
      </c>
      <c r="B193" s="5" t="s">
        <v>69</v>
      </c>
      <c r="C193" s="5" t="s">
        <v>428</v>
      </c>
      <c r="D193" s="5" t="s">
        <v>585</v>
      </c>
      <c r="E193" s="5" t="s">
        <v>423</v>
      </c>
      <c r="F193" s="5" t="s">
        <v>656</v>
      </c>
      <c r="G193" s="5" t="s">
        <v>657</v>
      </c>
      <c r="H193" s="5" t="s">
        <v>115</v>
      </c>
      <c r="I193" s="5" t="s">
        <v>53</v>
      </c>
      <c r="J193" s="5"/>
      <c r="K193" s="6" t="n">
        <f aca="false">SUMPRODUCT((Parti!$A$2:$A$3000=A193)*Parti!$C$2:$C$3000*Parti!$D$2:$D$3000*Parti!$E$2:$E$3000)</f>
        <v>150</v>
      </c>
      <c r="L193" s="6" t="n">
        <f aca="false">ROUND((K193*Legenda!$H$2/100+SUMPRODUCT((Parti!$A$2:$A$3000=A193)*Parti!$C$2:$C$3000*Parti!$D$2:$D$3000*(Parti!$F$2:$F$3000+Parti!$J$2:$J$3000)))/60,0)</f>
        <v>15</v>
      </c>
      <c r="M193" s="5"/>
      <c r="N193" s="5" t="s">
        <v>42</v>
      </c>
      <c r="O193" s="5" t="s">
        <v>43</v>
      </c>
    </row>
    <row r="194" customFormat="false" ht="15" hidden="false" customHeight="false" outlineLevel="0" collapsed="false">
      <c r="A194" s="5" t="s">
        <v>658</v>
      </c>
      <c r="B194" s="5" t="s">
        <v>69</v>
      </c>
      <c r="C194" s="5" t="s">
        <v>428</v>
      </c>
      <c r="D194" s="5" t="s">
        <v>585</v>
      </c>
      <c r="E194" s="5" t="s">
        <v>423</v>
      </c>
      <c r="F194" s="5" t="s">
        <v>659</v>
      </c>
      <c r="G194" s="5" t="s">
        <v>660</v>
      </c>
      <c r="H194" s="5" t="s">
        <v>119</v>
      </c>
      <c r="I194" s="5" t="s">
        <v>53</v>
      </c>
      <c r="J194" s="5"/>
      <c r="K194" s="6" t="n">
        <f aca="false">SUMPRODUCT((Parti!$A$2:$A$3000=A194)*Parti!$C$2:$C$3000*Parti!$D$2:$D$3000*Parti!$E$2:$E$3000)</f>
        <v>150</v>
      </c>
      <c r="L194" s="6" t="n">
        <f aca="false">ROUND((K194*Legenda!$H$2/100+SUMPRODUCT((Parti!$A$2:$A$3000=A194)*Parti!$C$2:$C$3000*Parti!$D$2:$D$3000*(Parti!$F$2:$F$3000+Parti!$J$2:$J$3000)))/60,0)</f>
        <v>15</v>
      </c>
      <c r="M194" s="5"/>
      <c r="N194" s="5" t="s">
        <v>42</v>
      </c>
      <c r="O194" s="5" t="s">
        <v>43</v>
      </c>
    </row>
    <row r="195" customFormat="false" ht="15" hidden="false" customHeight="false" outlineLevel="0" collapsed="false">
      <c r="A195" s="5" t="s">
        <v>661</v>
      </c>
      <c r="B195" s="5" t="s">
        <v>69</v>
      </c>
      <c r="C195" s="5" t="s">
        <v>428</v>
      </c>
      <c r="D195" s="5" t="s">
        <v>585</v>
      </c>
      <c r="E195" s="5" t="s">
        <v>423</v>
      </c>
      <c r="F195" s="5" t="s">
        <v>662</v>
      </c>
      <c r="G195" s="5" t="s">
        <v>663</v>
      </c>
      <c r="H195" s="5" t="s">
        <v>123</v>
      </c>
      <c r="I195" s="5" t="s">
        <v>53</v>
      </c>
      <c r="J195" s="5"/>
      <c r="K195" s="6" t="n">
        <f aca="false">SUMPRODUCT((Parti!$A$2:$A$3000=A195)*Parti!$C$2:$C$3000*Parti!$D$2:$D$3000*Parti!$E$2:$E$3000)</f>
        <v>150</v>
      </c>
      <c r="L195" s="6" t="n">
        <f aca="false">ROUND((K195*Legenda!$H$2/100+SUMPRODUCT((Parti!$A$2:$A$3000=A195)*Parti!$C$2:$C$3000*Parti!$D$2:$D$3000*(Parti!$F$2:$F$3000+Parti!$J$2:$J$3000)))/60,0)</f>
        <v>15</v>
      </c>
      <c r="M195" s="5"/>
      <c r="N195" s="5" t="s">
        <v>42</v>
      </c>
      <c r="O195" s="5" t="s">
        <v>43</v>
      </c>
    </row>
    <row r="196" customFormat="false" ht="15" hidden="false" customHeight="false" outlineLevel="0" collapsed="false">
      <c r="A196" s="5" t="s">
        <v>664</v>
      </c>
      <c r="B196" s="5" t="s">
        <v>34</v>
      </c>
      <c r="C196" s="5" t="s">
        <v>428</v>
      </c>
      <c r="D196" s="5" t="s">
        <v>98</v>
      </c>
      <c r="E196" s="5" t="s">
        <v>135</v>
      </c>
      <c r="F196" s="5" t="s">
        <v>665</v>
      </c>
      <c r="G196" s="5" t="s">
        <v>666</v>
      </c>
      <c r="H196" s="5" t="s">
        <v>48</v>
      </c>
      <c r="I196" s="5" t="s">
        <v>111</v>
      </c>
      <c r="J196" s="5"/>
      <c r="K196" s="6" t="n">
        <f aca="false">SUMPRODUCT((Parti!$A$2:$A$3000=A196)*Parti!$C$2:$C$3000*Parti!$D$2:$D$3000*Parti!$E$2:$E$3000)</f>
        <v>200</v>
      </c>
      <c r="L196" s="6" t="n">
        <f aca="false">ROUND((K196*Legenda!$H$2/100+SUMPRODUCT((Parti!$A$2:$A$3000=A196)*Parti!$C$2:$C$3000*Parti!$D$2:$D$3000*(Parti!$F$2:$F$3000+Parti!$J$2:$J$3000)))/60,0)</f>
        <v>12</v>
      </c>
      <c r="M196" s="5"/>
      <c r="N196" s="5" t="s">
        <v>42</v>
      </c>
      <c r="O196" s="5" t="s">
        <v>43</v>
      </c>
    </row>
    <row r="197" customFormat="false" ht="15" hidden="false" customHeight="false" outlineLevel="0" collapsed="false">
      <c r="A197" s="5" t="s">
        <v>667</v>
      </c>
      <c r="B197" s="5" t="s">
        <v>69</v>
      </c>
      <c r="C197" s="5" t="s">
        <v>428</v>
      </c>
      <c r="D197" s="5" t="s">
        <v>98</v>
      </c>
      <c r="E197" s="5" t="s">
        <v>135</v>
      </c>
      <c r="F197" s="5" t="s">
        <v>668</v>
      </c>
      <c r="G197" s="5" t="s">
        <v>669</v>
      </c>
      <c r="H197" s="5" t="s">
        <v>115</v>
      </c>
      <c r="I197" s="5" t="s">
        <v>111</v>
      </c>
      <c r="J197" s="5"/>
      <c r="K197" s="6" t="n">
        <f aca="false">SUMPRODUCT((Parti!$A$2:$A$3000=A197)*Parti!$C$2:$C$3000*Parti!$D$2:$D$3000*Parti!$E$2:$E$3000)</f>
        <v>200</v>
      </c>
      <c r="L197" s="6" t="n">
        <f aca="false">ROUND((K197*Legenda!$H$2/100+SUMPRODUCT((Parti!$A$2:$A$3000=A197)*Parti!$C$2:$C$3000*Parti!$D$2:$D$3000*(Parti!$F$2:$F$3000+Parti!$J$2:$J$3000)))/60,0)</f>
        <v>12</v>
      </c>
      <c r="M197" s="5"/>
      <c r="N197" s="5" t="s">
        <v>42</v>
      </c>
      <c r="O197" s="5" t="s">
        <v>43</v>
      </c>
    </row>
    <row r="198" customFormat="false" ht="15" hidden="false" customHeight="false" outlineLevel="0" collapsed="false">
      <c r="A198" s="5" t="s">
        <v>670</v>
      </c>
      <c r="B198" s="5" t="s">
        <v>69</v>
      </c>
      <c r="C198" s="5" t="s">
        <v>428</v>
      </c>
      <c r="D198" s="5" t="s">
        <v>98</v>
      </c>
      <c r="E198" s="5" t="s">
        <v>135</v>
      </c>
      <c r="F198" s="5" t="s">
        <v>671</v>
      </c>
      <c r="G198" s="5" t="s">
        <v>672</v>
      </c>
      <c r="H198" s="5" t="s">
        <v>119</v>
      </c>
      <c r="I198" s="5" t="s">
        <v>111</v>
      </c>
      <c r="J198" s="5"/>
      <c r="K198" s="6" t="n">
        <f aca="false">SUMPRODUCT((Parti!$A$2:$A$3000=A198)*Parti!$C$2:$C$3000*Parti!$D$2:$D$3000*Parti!$E$2:$E$3000)</f>
        <v>200</v>
      </c>
      <c r="L198" s="6" t="n">
        <f aca="false">ROUND((K198*Legenda!$H$2/100+SUMPRODUCT((Parti!$A$2:$A$3000=A198)*Parti!$C$2:$C$3000*Parti!$D$2:$D$3000*(Parti!$F$2:$F$3000+Parti!$J$2:$J$3000)))/60,0)</f>
        <v>12</v>
      </c>
      <c r="M198" s="5"/>
      <c r="N198" s="5" t="s">
        <v>42</v>
      </c>
      <c r="O198" s="5" t="s">
        <v>43</v>
      </c>
    </row>
    <row r="199" customFormat="false" ht="15" hidden="false" customHeight="false" outlineLevel="0" collapsed="false">
      <c r="A199" s="5" t="s">
        <v>673</v>
      </c>
      <c r="B199" s="5" t="s">
        <v>69</v>
      </c>
      <c r="C199" s="5" t="s">
        <v>428</v>
      </c>
      <c r="D199" s="5" t="s">
        <v>98</v>
      </c>
      <c r="E199" s="5" t="s">
        <v>135</v>
      </c>
      <c r="F199" s="5" t="s">
        <v>674</v>
      </c>
      <c r="G199" s="5" t="s">
        <v>675</v>
      </c>
      <c r="H199" s="5" t="s">
        <v>123</v>
      </c>
      <c r="I199" s="5" t="s">
        <v>111</v>
      </c>
      <c r="J199" s="5"/>
      <c r="K199" s="6" t="n">
        <f aca="false">SUMPRODUCT((Parti!$A$2:$A$3000=A199)*Parti!$C$2:$C$3000*Parti!$D$2:$D$3000*Parti!$E$2:$E$3000)</f>
        <v>200</v>
      </c>
      <c r="L199" s="6" t="n">
        <f aca="false">ROUND((K199*Legenda!$H$2/100+SUMPRODUCT((Parti!$A$2:$A$3000=A199)*Parti!$C$2:$C$3000*Parti!$D$2:$D$3000*(Parti!$F$2:$F$3000+Parti!$J$2:$J$3000)))/60,0)</f>
        <v>12</v>
      </c>
      <c r="M199" s="5"/>
      <c r="N199" s="5" t="s">
        <v>42</v>
      </c>
      <c r="O199" s="5" t="s">
        <v>43</v>
      </c>
    </row>
    <row r="200" customFormat="false" ht="15" hidden="false" customHeight="false" outlineLevel="0" collapsed="false">
      <c r="A200" s="5" t="s">
        <v>676</v>
      </c>
      <c r="B200" s="5" t="s">
        <v>34</v>
      </c>
      <c r="C200" s="5" t="s">
        <v>428</v>
      </c>
      <c r="D200" s="5" t="s">
        <v>98</v>
      </c>
      <c r="E200" s="5" t="s">
        <v>135</v>
      </c>
      <c r="F200" s="5" t="s">
        <v>677</v>
      </c>
      <c r="G200" s="5" t="s">
        <v>678</v>
      </c>
      <c r="H200" s="5" t="s">
        <v>133</v>
      </c>
      <c r="I200" s="5" t="s">
        <v>111</v>
      </c>
      <c r="J200" s="5"/>
      <c r="K200" s="6" t="n">
        <f aca="false">SUMPRODUCT((Parti!$A$2:$A$3000=A200)*Parti!$C$2:$C$3000*Parti!$D$2:$D$3000*Parti!$E$2:$E$3000)</f>
        <v>200</v>
      </c>
      <c r="L200" s="6" t="n">
        <f aca="false">ROUND((K200*Legenda!$H$2/100+SUMPRODUCT((Parti!$A$2:$A$3000=A200)*Parti!$C$2:$C$3000*Parti!$D$2:$D$3000*(Parti!$F$2:$F$3000+Parti!$J$2:$J$3000)))/60,0)</f>
        <v>12</v>
      </c>
      <c r="M200" s="5"/>
      <c r="N200" s="5" t="s">
        <v>42</v>
      </c>
      <c r="O200" s="5" t="s">
        <v>43</v>
      </c>
    </row>
    <row r="201" customFormat="false" ht="15" hidden="false" customHeight="false" outlineLevel="0" collapsed="false">
      <c r="A201" s="5" t="s">
        <v>679</v>
      </c>
      <c r="B201" s="5" t="s">
        <v>34</v>
      </c>
      <c r="C201" s="5" t="s">
        <v>428</v>
      </c>
      <c r="D201" s="5" t="s">
        <v>98</v>
      </c>
      <c r="E201" s="5" t="s">
        <v>135</v>
      </c>
      <c r="F201" s="5" t="s">
        <v>680</v>
      </c>
      <c r="G201" s="5" t="s">
        <v>681</v>
      </c>
      <c r="H201" s="5" t="s">
        <v>48</v>
      </c>
      <c r="I201" s="5" t="s">
        <v>111</v>
      </c>
      <c r="J201" s="5"/>
      <c r="K201" s="6" t="n">
        <f aca="false">SUMPRODUCT((Parti!$A$2:$A$3000=A201)*Parti!$C$2:$C$3000*Parti!$D$2:$D$3000*Parti!$E$2:$E$3000)</f>
        <v>90</v>
      </c>
      <c r="L201" s="6" t="n">
        <f aca="false">ROUND((K201*Legenda!$H$2/100+SUMPRODUCT((Parti!$A$2:$A$3000=A201)*Parti!$C$2:$C$3000*Parti!$D$2:$D$3000*(Parti!$F$2:$F$3000+Parti!$J$2:$J$3000)))/60,0)</f>
        <v>6</v>
      </c>
      <c r="M201" s="5"/>
      <c r="N201" s="5" t="s">
        <v>42</v>
      </c>
      <c r="O201" s="5" t="s">
        <v>43</v>
      </c>
    </row>
    <row r="202" customFormat="false" ht="15" hidden="false" customHeight="false" outlineLevel="0" collapsed="false">
      <c r="A202" s="5" t="s">
        <v>682</v>
      </c>
      <c r="B202" s="5" t="s">
        <v>69</v>
      </c>
      <c r="C202" s="5" t="s">
        <v>428</v>
      </c>
      <c r="D202" s="5" t="s">
        <v>98</v>
      </c>
      <c r="E202" s="5" t="s">
        <v>135</v>
      </c>
      <c r="F202" s="5" t="s">
        <v>683</v>
      </c>
      <c r="G202" s="5" t="s">
        <v>684</v>
      </c>
      <c r="H202" s="5" t="s">
        <v>115</v>
      </c>
      <c r="I202" s="5" t="s">
        <v>111</v>
      </c>
      <c r="J202" s="5"/>
      <c r="K202" s="6" t="n">
        <f aca="false">SUMPRODUCT((Parti!$A$2:$A$3000=A202)*Parti!$C$2:$C$3000*Parti!$D$2:$D$3000*Parti!$E$2:$E$3000)</f>
        <v>90</v>
      </c>
      <c r="L202" s="6" t="n">
        <f aca="false">ROUND((K202*Legenda!$H$2/100+SUMPRODUCT((Parti!$A$2:$A$3000=A202)*Parti!$C$2:$C$3000*Parti!$D$2:$D$3000*(Parti!$F$2:$F$3000+Parti!$J$2:$J$3000)))/60,0)</f>
        <v>6</v>
      </c>
      <c r="M202" s="5"/>
      <c r="N202" s="5" t="s">
        <v>42</v>
      </c>
      <c r="O202" s="5" t="s">
        <v>43</v>
      </c>
    </row>
    <row r="203" customFormat="false" ht="15" hidden="false" customHeight="false" outlineLevel="0" collapsed="false">
      <c r="A203" s="5" t="s">
        <v>685</v>
      </c>
      <c r="B203" s="5" t="s">
        <v>69</v>
      </c>
      <c r="C203" s="5" t="s">
        <v>428</v>
      </c>
      <c r="D203" s="5" t="s">
        <v>98</v>
      </c>
      <c r="E203" s="5" t="s">
        <v>135</v>
      </c>
      <c r="F203" s="5" t="s">
        <v>686</v>
      </c>
      <c r="G203" s="5" t="s">
        <v>687</v>
      </c>
      <c r="H203" s="5" t="s">
        <v>119</v>
      </c>
      <c r="I203" s="5" t="s">
        <v>111</v>
      </c>
      <c r="J203" s="5"/>
      <c r="K203" s="6" t="n">
        <f aca="false">SUMPRODUCT((Parti!$A$2:$A$3000=A203)*Parti!$C$2:$C$3000*Parti!$D$2:$D$3000*Parti!$E$2:$E$3000)</f>
        <v>90</v>
      </c>
      <c r="L203" s="6" t="n">
        <f aca="false">ROUND((K203*Legenda!$H$2/100+SUMPRODUCT((Parti!$A$2:$A$3000=A203)*Parti!$C$2:$C$3000*Parti!$D$2:$D$3000*(Parti!$F$2:$F$3000+Parti!$J$2:$J$3000)))/60,0)</f>
        <v>6</v>
      </c>
      <c r="M203" s="5"/>
      <c r="N203" s="5" t="s">
        <v>42</v>
      </c>
      <c r="O203" s="5" t="s">
        <v>43</v>
      </c>
    </row>
    <row r="204" customFormat="false" ht="15" hidden="false" customHeight="false" outlineLevel="0" collapsed="false">
      <c r="A204" s="5" t="s">
        <v>688</v>
      </c>
      <c r="B204" s="5" t="s">
        <v>69</v>
      </c>
      <c r="C204" s="5" t="s">
        <v>428</v>
      </c>
      <c r="D204" s="5" t="s">
        <v>98</v>
      </c>
      <c r="E204" s="5" t="s">
        <v>135</v>
      </c>
      <c r="F204" s="5" t="s">
        <v>689</v>
      </c>
      <c r="G204" s="5" t="s">
        <v>690</v>
      </c>
      <c r="H204" s="5" t="s">
        <v>123</v>
      </c>
      <c r="I204" s="5" t="s">
        <v>111</v>
      </c>
      <c r="J204" s="5"/>
      <c r="K204" s="6" t="n">
        <f aca="false">SUMPRODUCT((Parti!$A$2:$A$3000=A204)*Parti!$C$2:$C$3000*Parti!$D$2:$D$3000*Parti!$E$2:$E$3000)</f>
        <v>90</v>
      </c>
      <c r="L204" s="6" t="n">
        <f aca="false">ROUND((K204*Legenda!$H$2/100+SUMPRODUCT((Parti!$A$2:$A$3000=A204)*Parti!$C$2:$C$3000*Parti!$D$2:$D$3000*(Parti!$F$2:$F$3000+Parti!$J$2:$J$3000)))/60,0)</f>
        <v>6</v>
      </c>
      <c r="M204" s="5"/>
      <c r="N204" s="5" t="s">
        <v>42</v>
      </c>
      <c r="O204" s="5" t="s">
        <v>43</v>
      </c>
    </row>
    <row r="205" customFormat="false" ht="15" hidden="false" customHeight="false" outlineLevel="0" collapsed="false">
      <c r="A205" s="5" t="s">
        <v>691</v>
      </c>
      <c r="B205" s="5" t="s">
        <v>34</v>
      </c>
      <c r="C205" s="5" t="s">
        <v>428</v>
      </c>
      <c r="D205" s="5" t="s">
        <v>98</v>
      </c>
      <c r="E205" s="5" t="s">
        <v>135</v>
      </c>
      <c r="F205" s="5" t="s">
        <v>692</v>
      </c>
      <c r="G205" s="5" t="s">
        <v>693</v>
      </c>
      <c r="H205" s="5" t="s">
        <v>48</v>
      </c>
      <c r="I205" s="5" t="s">
        <v>111</v>
      </c>
      <c r="J205" s="5"/>
      <c r="K205" s="6" t="n">
        <f aca="false">SUMPRODUCT((Parti!$A$2:$A$3000=A205)*Parti!$C$2:$C$3000*Parti!$D$2:$D$3000*Parti!$E$2:$E$3000)</f>
        <v>125</v>
      </c>
      <c r="L205" s="6" t="n">
        <f aca="false">ROUND((K205*Legenda!$H$2/100+SUMPRODUCT((Parti!$A$2:$A$3000=A205)*Parti!$C$2:$C$3000*Parti!$D$2:$D$3000*(Parti!$F$2:$F$3000+Parti!$J$2:$J$3000)))/60,0)</f>
        <v>7</v>
      </c>
      <c r="M205" s="5"/>
      <c r="N205" s="5" t="s">
        <v>42</v>
      </c>
      <c r="O205" s="5" t="s">
        <v>43</v>
      </c>
    </row>
    <row r="206" customFormat="false" ht="15" hidden="false" customHeight="false" outlineLevel="0" collapsed="false">
      <c r="A206" s="5" t="s">
        <v>694</v>
      </c>
      <c r="B206" s="5" t="s">
        <v>69</v>
      </c>
      <c r="C206" s="5" t="s">
        <v>428</v>
      </c>
      <c r="D206" s="5" t="s">
        <v>98</v>
      </c>
      <c r="E206" s="5" t="s">
        <v>135</v>
      </c>
      <c r="F206" s="5" t="s">
        <v>695</v>
      </c>
      <c r="G206" s="5" t="s">
        <v>696</v>
      </c>
      <c r="H206" s="5" t="s">
        <v>115</v>
      </c>
      <c r="I206" s="5" t="s">
        <v>111</v>
      </c>
      <c r="J206" s="5"/>
      <c r="K206" s="6" t="n">
        <f aca="false">SUMPRODUCT((Parti!$A$2:$A$3000=A206)*Parti!$C$2:$C$3000*Parti!$D$2:$D$3000*Parti!$E$2:$E$3000)</f>
        <v>125</v>
      </c>
      <c r="L206" s="6" t="n">
        <f aca="false">ROUND((K206*Legenda!$H$2/100+SUMPRODUCT((Parti!$A$2:$A$3000=A206)*Parti!$C$2:$C$3000*Parti!$D$2:$D$3000*(Parti!$F$2:$F$3000+Parti!$J$2:$J$3000)))/60,0)</f>
        <v>7</v>
      </c>
      <c r="M206" s="5"/>
      <c r="N206" s="5" t="s">
        <v>42</v>
      </c>
      <c r="O206" s="5" t="s">
        <v>43</v>
      </c>
    </row>
    <row r="207" customFormat="false" ht="15" hidden="false" customHeight="false" outlineLevel="0" collapsed="false">
      <c r="A207" s="5" t="s">
        <v>697</v>
      </c>
      <c r="B207" s="5" t="s">
        <v>69</v>
      </c>
      <c r="C207" s="5" t="s">
        <v>428</v>
      </c>
      <c r="D207" s="5" t="s">
        <v>98</v>
      </c>
      <c r="E207" s="5" t="s">
        <v>135</v>
      </c>
      <c r="F207" s="5" t="s">
        <v>698</v>
      </c>
      <c r="G207" s="5" t="s">
        <v>699</v>
      </c>
      <c r="H207" s="5" t="s">
        <v>119</v>
      </c>
      <c r="I207" s="5" t="s">
        <v>111</v>
      </c>
      <c r="J207" s="5"/>
      <c r="K207" s="6" t="n">
        <f aca="false">SUMPRODUCT((Parti!$A$2:$A$3000=A207)*Parti!$C$2:$C$3000*Parti!$D$2:$D$3000*Parti!$E$2:$E$3000)</f>
        <v>125</v>
      </c>
      <c r="L207" s="6" t="n">
        <f aca="false">ROUND((K207*Legenda!$H$2/100+SUMPRODUCT((Parti!$A$2:$A$3000=A207)*Parti!$C$2:$C$3000*Parti!$D$2:$D$3000*(Parti!$F$2:$F$3000+Parti!$J$2:$J$3000)))/60,0)</f>
        <v>7</v>
      </c>
      <c r="M207" s="5"/>
      <c r="N207" s="5" t="s">
        <v>42</v>
      </c>
      <c r="O207" s="5" t="s">
        <v>43</v>
      </c>
    </row>
    <row r="208" customFormat="false" ht="15" hidden="false" customHeight="false" outlineLevel="0" collapsed="false">
      <c r="A208" s="5" t="s">
        <v>700</v>
      </c>
      <c r="B208" s="5" t="s">
        <v>69</v>
      </c>
      <c r="C208" s="5" t="s">
        <v>428</v>
      </c>
      <c r="D208" s="5" t="s">
        <v>98</v>
      </c>
      <c r="E208" s="5" t="s">
        <v>135</v>
      </c>
      <c r="F208" s="5" t="s">
        <v>701</v>
      </c>
      <c r="G208" s="5" t="s">
        <v>702</v>
      </c>
      <c r="H208" s="5" t="s">
        <v>123</v>
      </c>
      <c r="I208" s="5" t="s">
        <v>111</v>
      </c>
      <c r="J208" s="5"/>
      <c r="K208" s="6" t="n">
        <f aca="false">SUMPRODUCT((Parti!$A$2:$A$3000=A208)*Parti!$C$2:$C$3000*Parti!$D$2:$D$3000*Parti!$E$2:$E$3000)</f>
        <v>125</v>
      </c>
      <c r="L208" s="6" t="n">
        <f aca="false">ROUND((K208*Legenda!$H$2/100+SUMPRODUCT((Parti!$A$2:$A$3000=A208)*Parti!$C$2:$C$3000*Parti!$D$2:$D$3000*(Parti!$F$2:$F$3000+Parti!$J$2:$J$3000)))/60,0)</f>
        <v>7</v>
      </c>
      <c r="M208" s="5"/>
      <c r="N208" s="5" t="s">
        <v>42</v>
      </c>
      <c r="O208" s="5" t="s">
        <v>43</v>
      </c>
    </row>
    <row r="209" customFormat="false" ht="15" hidden="false" customHeight="false" outlineLevel="0" collapsed="false">
      <c r="A209" s="5" t="s">
        <v>703</v>
      </c>
      <c r="B209" s="5" t="s">
        <v>34</v>
      </c>
      <c r="C209" s="5" t="s">
        <v>428</v>
      </c>
      <c r="D209" s="5" t="s">
        <v>348</v>
      </c>
      <c r="E209" s="5" t="s">
        <v>108</v>
      </c>
      <c r="F209" s="5" t="s">
        <v>704</v>
      </c>
      <c r="G209" s="5" t="s">
        <v>705</v>
      </c>
      <c r="H209" s="5" t="s">
        <v>48</v>
      </c>
      <c r="I209" s="5" t="s">
        <v>82</v>
      </c>
      <c r="J209" s="5"/>
      <c r="K209" s="6" t="n">
        <f aca="false">SUMPRODUCT((Parti!$A$2:$A$3000=A209)*Parti!$C$2:$C$3000*Parti!$D$2:$D$3000*Parti!$E$2:$E$3000)</f>
        <v>1200</v>
      </c>
      <c r="L209" s="6" t="n">
        <f aca="false">ROUND((K209*Legenda!$H$2/100+SUMPRODUCT((Parti!$A$2:$A$3000=A209)*Parti!$C$2:$C$3000*Parti!$D$2:$D$3000*(Parti!$F$2:$F$3000+Parti!$J$2:$J$3000)))/60,0)</f>
        <v>24</v>
      </c>
      <c r="M209" s="5" t="s">
        <v>706</v>
      </c>
      <c r="N209" s="5" t="s">
        <v>42</v>
      </c>
      <c r="O209" s="5" t="s">
        <v>43</v>
      </c>
    </row>
    <row r="210" customFormat="false" ht="15" hidden="false" customHeight="false" outlineLevel="0" collapsed="false">
      <c r="A210" s="5" t="s">
        <v>707</v>
      </c>
      <c r="B210" s="5" t="s">
        <v>69</v>
      </c>
      <c r="C210" s="5" t="s">
        <v>428</v>
      </c>
      <c r="D210" s="5" t="s">
        <v>585</v>
      </c>
      <c r="E210" s="5" t="s">
        <v>586</v>
      </c>
      <c r="F210" s="5" t="s">
        <v>708</v>
      </c>
      <c r="G210" s="5" t="s">
        <v>709</v>
      </c>
      <c r="H210" s="5" t="s">
        <v>133</v>
      </c>
      <c r="I210" s="5" t="s">
        <v>53</v>
      </c>
      <c r="J210" s="5"/>
      <c r="K210" s="6" t="n">
        <f aca="false">SUMPRODUCT((Parti!$A$2:$A$3000=A210)*Parti!$C$2:$C$3000*Parti!$D$2:$D$3000*Parti!$E$2:$E$3000)</f>
        <v>400</v>
      </c>
      <c r="L210" s="6" t="n">
        <f aca="false">ROUND((K210*Legenda!$H$2/100+SUMPRODUCT((Parti!$A$2:$A$3000=A210)*Parti!$C$2:$C$3000*Parti!$D$2:$D$3000*(Parti!$F$2:$F$3000+Parti!$J$2:$J$3000)))/60,0)</f>
        <v>13</v>
      </c>
      <c r="M210" s="5" t="s">
        <v>710</v>
      </c>
      <c r="N210" s="5" t="s">
        <v>42</v>
      </c>
      <c r="O210" s="5" t="s">
        <v>43</v>
      </c>
    </row>
    <row r="211" customFormat="false" ht="15" hidden="false" customHeight="false" outlineLevel="0" collapsed="false">
      <c r="A211" s="5" t="s">
        <v>711</v>
      </c>
      <c r="B211" s="5" t="s">
        <v>34</v>
      </c>
      <c r="C211" s="5" t="s">
        <v>428</v>
      </c>
      <c r="D211" s="5" t="s">
        <v>98</v>
      </c>
      <c r="E211" s="5" t="s">
        <v>135</v>
      </c>
      <c r="F211" s="5" t="s">
        <v>712</v>
      </c>
      <c r="G211" s="5" t="s">
        <v>713</v>
      </c>
      <c r="H211" s="5" t="s">
        <v>133</v>
      </c>
      <c r="I211" s="5" t="s">
        <v>53</v>
      </c>
      <c r="J211" s="5"/>
      <c r="K211" s="6" t="n">
        <f aca="false">SUMPRODUCT((Parti!$A$2:$A$3000=A211)*Parti!$C$2:$C$3000*Parti!$D$2:$D$3000*Parti!$E$2:$E$3000)</f>
        <v>400</v>
      </c>
      <c r="L211" s="6" t="n">
        <f aca="false">ROUND((K211*Legenda!$H$2/100+SUMPRODUCT((Parti!$A$2:$A$3000=A211)*Parti!$C$2:$C$3000*Parti!$D$2:$D$3000*(Parti!$F$2:$F$3000+Parti!$J$2:$J$3000)))/60,0)</f>
        <v>15</v>
      </c>
      <c r="M211" s="5" t="s">
        <v>714</v>
      </c>
      <c r="N211" s="5" t="s">
        <v>42</v>
      </c>
      <c r="O211" s="5" t="s">
        <v>43</v>
      </c>
    </row>
    <row r="212" customFormat="false" ht="15" hidden="false" customHeight="false" outlineLevel="0" collapsed="false">
      <c r="A212" s="5" t="s">
        <v>715</v>
      </c>
      <c r="B212" s="5" t="s">
        <v>34</v>
      </c>
      <c r="C212" s="5" t="s">
        <v>428</v>
      </c>
      <c r="D212" s="5" t="s">
        <v>45</v>
      </c>
      <c r="E212" s="5" t="s">
        <v>343</v>
      </c>
      <c r="F212" s="5" t="s">
        <v>716</v>
      </c>
      <c r="G212" s="5" t="s">
        <v>717</v>
      </c>
      <c r="H212" s="5" t="s">
        <v>48</v>
      </c>
      <c r="I212" s="5" t="s">
        <v>41</v>
      </c>
      <c r="J212" s="5"/>
      <c r="K212" s="6" t="n">
        <f aca="false">SUMPRODUCT((Parti!$A$2:$A$3000=A212)*Parti!$C$2:$C$3000*Parti!$D$2:$D$3000*Parti!$E$2:$E$3000)</f>
        <v>1500</v>
      </c>
      <c r="L212" s="6" t="n">
        <f aca="false">ROUND((K212*Legenda!$H$2/100+SUMPRODUCT((Parti!$A$2:$A$3000=A212)*Parti!$C$2:$C$3000*Parti!$D$2:$D$3000*(Parti!$F$2:$F$3000+Parti!$J$2:$J$3000)))/60,0)</f>
        <v>28</v>
      </c>
      <c r="M212" s="5"/>
      <c r="N212" s="5" t="s">
        <v>42</v>
      </c>
      <c r="O212" s="5" t="s">
        <v>43</v>
      </c>
    </row>
    <row r="213" customFormat="false" ht="15" hidden="false" customHeight="false" outlineLevel="0" collapsed="false">
      <c r="A213" s="5" t="s">
        <v>718</v>
      </c>
      <c r="B213" s="5" t="s">
        <v>34</v>
      </c>
      <c r="C213" s="5" t="s">
        <v>428</v>
      </c>
      <c r="D213" s="5" t="s">
        <v>45</v>
      </c>
      <c r="E213" s="5" t="s">
        <v>343</v>
      </c>
      <c r="F213" s="5" t="s">
        <v>719</v>
      </c>
      <c r="G213" s="5" t="s">
        <v>720</v>
      </c>
      <c r="H213" s="5" t="s">
        <v>52</v>
      </c>
      <c r="I213" s="5" t="s">
        <v>53</v>
      </c>
      <c r="J213" s="5"/>
      <c r="K213" s="6" t="n">
        <f aca="false">SUMPRODUCT((Parti!$A$2:$A$3000=A213)*Parti!$C$2:$C$3000*Parti!$D$2:$D$3000*Parti!$E$2:$E$3000)</f>
        <v>1500</v>
      </c>
      <c r="L213" s="6" t="n">
        <f aca="false">ROUND((K213*Legenda!$H$2/100+SUMPRODUCT((Parti!$A$2:$A$3000=A213)*Parti!$C$2:$C$3000*Parti!$D$2:$D$3000*(Parti!$F$2:$F$3000+Parti!$J$2:$J$3000)))/60,0)</f>
        <v>30</v>
      </c>
      <c r="M213" s="5"/>
      <c r="N213" s="5" t="s">
        <v>42</v>
      </c>
      <c r="O213" s="5" t="s">
        <v>43</v>
      </c>
    </row>
    <row r="214" customFormat="false" ht="15" hidden="false" customHeight="false" outlineLevel="0" collapsed="false">
      <c r="A214" s="5" t="s">
        <v>721</v>
      </c>
      <c r="B214" s="5" t="s">
        <v>69</v>
      </c>
      <c r="C214" s="5" t="s">
        <v>428</v>
      </c>
      <c r="D214" s="5" t="s">
        <v>722</v>
      </c>
      <c r="E214" s="5" t="s">
        <v>149</v>
      </c>
      <c r="F214" s="5" t="s">
        <v>723</v>
      </c>
      <c r="G214" s="5" t="s">
        <v>724</v>
      </c>
      <c r="H214" s="5" t="s">
        <v>48</v>
      </c>
      <c r="I214" s="5" t="s">
        <v>53</v>
      </c>
      <c r="J214" s="5"/>
      <c r="K214" s="6" t="n">
        <f aca="false">SUMPRODUCT((Parti!$A$2:$A$3000=A214)*Parti!$C$2:$C$3000*Parti!$D$2:$D$3000*Parti!$E$2:$E$3000)</f>
        <v>400</v>
      </c>
      <c r="L214" s="6" t="n">
        <f aca="false">ROUND((K214*Legenda!$H$2/100+SUMPRODUCT((Parti!$A$2:$A$3000=A214)*Parti!$C$2:$C$3000*Parti!$D$2:$D$3000*(Parti!$F$2:$F$3000+Parti!$J$2:$J$3000)))/60,0)</f>
        <v>11</v>
      </c>
      <c r="M214" s="5"/>
      <c r="N214" s="5" t="s">
        <v>42</v>
      </c>
      <c r="O214" s="5" t="s">
        <v>43</v>
      </c>
    </row>
    <row r="215" customFormat="false" ht="15" hidden="false" customHeight="false" outlineLevel="0" collapsed="false">
      <c r="A215" s="5" t="s">
        <v>725</v>
      </c>
      <c r="B215" s="5" t="s">
        <v>69</v>
      </c>
      <c r="C215" s="5" t="s">
        <v>428</v>
      </c>
      <c r="D215" s="5" t="s">
        <v>722</v>
      </c>
      <c r="E215" s="5" t="s">
        <v>149</v>
      </c>
      <c r="F215" s="5" t="s">
        <v>726</v>
      </c>
      <c r="G215" s="5" t="s">
        <v>727</v>
      </c>
      <c r="H215" s="5" t="s">
        <v>115</v>
      </c>
      <c r="I215" s="5" t="s">
        <v>53</v>
      </c>
      <c r="J215" s="5"/>
      <c r="K215" s="6" t="n">
        <f aca="false">SUMPRODUCT((Parti!$A$2:$A$3000=A215)*Parti!$C$2:$C$3000*Parti!$D$2:$D$3000*Parti!$E$2:$E$3000)</f>
        <v>400</v>
      </c>
      <c r="L215" s="6" t="n">
        <f aca="false">ROUND((K215*Legenda!$H$2/100+SUMPRODUCT((Parti!$A$2:$A$3000=A215)*Parti!$C$2:$C$3000*Parti!$D$2:$D$3000*(Parti!$F$2:$F$3000+Parti!$J$2:$J$3000)))/60,0)</f>
        <v>11</v>
      </c>
      <c r="M215" s="5"/>
      <c r="N215" s="5" t="s">
        <v>42</v>
      </c>
      <c r="O215" s="5" t="s">
        <v>43</v>
      </c>
    </row>
    <row r="216" customFormat="false" ht="15" hidden="false" customHeight="false" outlineLevel="0" collapsed="false">
      <c r="A216" s="5" t="s">
        <v>728</v>
      </c>
      <c r="B216" s="5" t="s">
        <v>69</v>
      </c>
      <c r="C216" s="5" t="s">
        <v>428</v>
      </c>
      <c r="D216" s="5" t="s">
        <v>722</v>
      </c>
      <c r="E216" s="5" t="s">
        <v>149</v>
      </c>
      <c r="F216" s="5" t="s">
        <v>729</v>
      </c>
      <c r="G216" s="5" t="s">
        <v>730</v>
      </c>
      <c r="H216" s="5" t="s">
        <v>119</v>
      </c>
      <c r="I216" s="5" t="s">
        <v>53</v>
      </c>
      <c r="J216" s="5"/>
      <c r="K216" s="6" t="n">
        <f aca="false">SUMPRODUCT((Parti!$A$2:$A$3000=A216)*Parti!$C$2:$C$3000*Parti!$D$2:$D$3000*Parti!$E$2:$E$3000)</f>
        <v>400</v>
      </c>
      <c r="L216" s="6" t="n">
        <f aca="false">ROUND((K216*Legenda!$H$2/100+SUMPRODUCT((Parti!$A$2:$A$3000=A216)*Parti!$C$2:$C$3000*Parti!$D$2:$D$3000*(Parti!$F$2:$F$3000+Parti!$J$2:$J$3000)))/60,0)</f>
        <v>11</v>
      </c>
      <c r="M216" s="5"/>
      <c r="N216" s="5" t="s">
        <v>42</v>
      </c>
      <c r="O216" s="5" t="s">
        <v>43</v>
      </c>
    </row>
    <row r="217" customFormat="false" ht="15" hidden="false" customHeight="false" outlineLevel="0" collapsed="false">
      <c r="A217" s="5" t="s">
        <v>731</v>
      </c>
      <c r="B217" s="5" t="s">
        <v>69</v>
      </c>
      <c r="C217" s="5" t="s">
        <v>428</v>
      </c>
      <c r="D217" s="5" t="s">
        <v>722</v>
      </c>
      <c r="E217" s="5" t="s">
        <v>149</v>
      </c>
      <c r="F217" s="5" t="s">
        <v>732</v>
      </c>
      <c r="G217" s="5" t="s">
        <v>733</v>
      </c>
      <c r="H217" s="5" t="s">
        <v>123</v>
      </c>
      <c r="I217" s="5" t="s">
        <v>53</v>
      </c>
      <c r="J217" s="5"/>
      <c r="K217" s="6" t="n">
        <f aca="false">SUMPRODUCT((Parti!$A$2:$A$3000=A217)*Parti!$C$2:$C$3000*Parti!$D$2:$D$3000*Parti!$E$2:$E$3000)</f>
        <v>400</v>
      </c>
      <c r="L217" s="6" t="n">
        <f aca="false">ROUND((K217*Legenda!$H$2/100+SUMPRODUCT((Parti!$A$2:$A$3000=A217)*Parti!$C$2:$C$3000*Parti!$D$2:$D$3000*(Parti!$F$2:$F$3000+Parti!$J$2:$J$3000)))/60,0)</f>
        <v>11</v>
      </c>
      <c r="M217" s="5"/>
      <c r="N217" s="5" t="s">
        <v>42</v>
      </c>
      <c r="O217" s="5" t="s">
        <v>43</v>
      </c>
    </row>
    <row r="218" customFormat="false" ht="15" hidden="false" customHeight="false" outlineLevel="0" collapsed="false">
      <c r="A218" s="5" t="s">
        <v>734</v>
      </c>
      <c r="B218" s="5" t="s">
        <v>69</v>
      </c>
      <c r="C218" s="5" t="s">
        <v>428</v>
      </c>
      <c r="D218" s="5" t="s">
        <v>722</v>
      </c>
      <c r="E218" s="5" t="s">
        <v>149</v>
      </c>
      <c r="F218" s="5" t="s">
        <v>735</v>
      </c>
      <c r="G218" s="5" t="s">
        <v>736</v>
      </c>
      <c r="H218" s="5" t="s">
        <v>48</v>
      </c>
      <c r="I218" s="5" t="s">
        <v>53</v>
      </c>
      <c r="J218" s="5"/>
      <c r="K218" s="6" t="n">
        <f aca="false">SUMPRODUCT((Parti!$A$2:$A$3000=A218)*Parti!$C$2:$C$3000*Parti!$D$2:$D$3000*Parti!$E$2:$E$3000)</f>
        <v>400</v>
      </c>
      <c r="L218" s="6" t="n">
        <f aca="false">ROUND((K218*Legenda!$H$2/100+SUMPRODUCT((Parti!$A$2:$A$3000=A218)*Parti!$C$2:$C$3000*Parti!$D$2:$D$3000*(Parti!$F$2:$F$3000+Parti!$J$2:$J$3000)))/60,0)</f>
        <v>9</v>
      </c>
      <c r="M218" s="5"/>
      <c r="N218" s="5" t="s">
        <v>42</v>
      </c>
      <c r="O218" s="5" t="s">
        <v>43</v>
      </c>
    </row>
    <row r="219" customFormat="false" ht="15" hidden="false" customHeight="false" outlineLevel="0" collapsed="false">
      <c r="A219" s="5" t="s">
        <v>737</v>
      </c>
      <c r="B219" s="5" t="s">
        <v>69</v>
      </c>
      <c r="C219" s="5" t="s">
        <v>428</v>
      </c>
      <c r="D219" s="5" t="s">
        <v>722</v>
      </c>
      <c r="E219" s="5" t="s">
        <v>149</v>
      </c>
      <c r="F219" s="5" t="s">
        <v>738</v>
      </c>
      <c r="G219" s="5" t="s">
        <v>739</v>
      </c>
      <c r="H219" s="5" t="s">
        <v>115</v>
      </c>
      <c r="I219" s="5" t="s">
        <v>53</v>
      </c>
      <c r="J219" s="5"/>
      <c r="K219" s="6" t="n">
        <f aca="false">SUMPRODUCT((Parti!$A$2:$A$3000=A219)*Parti!$C$2:$C$3000*Parti!$D$2:$D$3000*Parti!$E$2:$E$3000)</f>
        <v>400</v>
      </c>
      <c r="L219" s="6" t="n">
        <f aca="false">ROUND((K219*Legenda!$H$2/100+SUMPRODUCT((Parti!$A$2:$A$3000=A219)*Parti!$C$2:$C$3000*Parti!$D$2:$D$3000*(Parti!$F$2:$F$3000+Parti!$J$2:$J$3000)))/60,0)</f>
        <v>9</v>
      </c>
      <c r="M219" s="5"/>
      <c r="N219" s="5" t="s">
        <v>42</v>
      </c>
      <c r="O219" s="5" t="s">
        <v>43</v>
      </c>
    </row>
    <row r="220" customFormat="false" ht="15" hidden="false" customHeight="false" outlineLevel="0" collapsed="false">
      <c r="A220" s="5" t="s">
        <v>740</v>
      </c>
      <c r="B220" s="5" t="s">
        <v>69</v>
      </c>
      <c r="C220" s="5" t="s">
        <v>428</v>
      </c>
      <c r="D220" s="5" t="s">
        <v>722</v>
      </c>
      <c r="E220" s="5" t="s">
        <v>149</v>
      </c>
      <c r="F220" s="5" t="s">
        <v>741</v>
      </c>
      <c r="G220" s="5" t="s">
        <v>742</v>
      </c>
      <c r="H220" s="5" t="s">
        <v>119</v>
      </c>
      <c r="I220" s="5" t="s">
        <v>53</v>
      </c>
      <c r="J220" s="5"/>
      <c r="K220" s="6" t="n">
        <f aca="false">SUMPRODUCT((Parti!$A$2:$A$3000=A220)*Parti!$C$2:$C$3000*Parti!$D$2:$D$3000*Parti!$E$2:$E$3000)</f>
        <v>400</v>
      </c>
      <c r="L220" s="6" t="n">
        <f aca="false">ROUND((K220*Legenda!$H$2/100+SUMPRODUCT((Parti!$A$2:$A$3000=A220)*Parti!$C$2:$C$3000*Parti!$D$2:$D$3000*(Parti!$F$2:$F$3000+Parti!$J$2:$J$3000)))/60,0)</f>
        <v>9</v>
      </c>
      <c r="M220" s="5"/>
      <c r="N220" s="5" t="s">
        <v>42</v>
      </c>
      <c r="O220" s="5" t="s">
        <v>43</v>
      </c>
    </row>
    <row r="221" customFormat="false" ht="15" hidden="false" customHeight="false" outlineLevel="0" collapsed="false">
      <c r="A221" s="5" t="s">
        <v>743</v>
      </c>
      <c r="B221" s="5" t="s">
        <v>69</v>
      </c>
      <c r="C221" s="5" t="s">
        <v>428</v>
      </c>
      <c r="D221" s="5" t="s">
        <v>722</v>
      </c>
      <c r="E221" s="5" t="s">
        <v>149</v>
      </c>
      <c r="F221" s="5" t="s">
        <v>744</v>
      </c>
      <c r="G221" s="5" t="s">
        <v>745</v>
      </c>
      <c r="H221" s="5" t="s">
        <v>48</v>
      </c>
      <c r="I221" s="5" t="s">
        <v>53</v>
      </c>
      <c r="J221" s="5"/>
      <c r="K221" s="6" t="n">
        <f aca="false">SUMPRODUCT((Parti!$A$2:$A$3000=A221)*Parti!$C$2:$C$3000*Parti!$D$2:$D$3000*Parti!$E$2:$E$3000)</f>
        <v>300</v>
      </c>
      <c r="L221" s="6" t="n">
        <f aca="false">ROUND((K221*Legenda!$H$2/100+SUMPRODUCT((Parti!$A$2:$A$3000=A221)*Parti!$C$2:$C$3000*Parti!$D$2:$D$3000*(Parti!$F$2:$F$3000+Parti!$J$2:$J$3000)))/60,0)</f>
        <v>12</v>
      </c>
      <c r="M221" s="5"/>
      <c r="N221" s="5" t="s">
        <v>42</v>
      </c>
      <c r="O221" s="5" t="s">
        <v>43</v>
      </c>
    </row>
    <row r="222" customFormat="false" ht="15" hidden="false" customHeight="false" outlineLevel="0" collapsed="false">
      <c r="A222" s="5" t="s">
        <v>746</v>
      </c>
      <c r="B222" s="5" t="s">
        <v>69</v>
      </c>
      <c r="C222" s="5" t="s">
        <v>428</v>
      </c>
      <c r="D222" s="5" t="s">
        <v>722</v>
      </c>
      <c r="E222" s="5" t="s">
        <v>149</v>
      </c>
      <c r="F222" s="5" t="s">
        <v>747</v>
      </c>
      <c r="G222" s="5" t="s">
        <v>748</v>
      </c>
      <c r="H222" s="5" t="s">
        <v>115</v>
      </c>
      <c r="I222" s="5" t="s">
        <v>53</v>
      </c>
      <c r="J222" s="5"/>
      <c r="K222" s="6" t="n">
        <f aca="false">SUMPRODUCT((Parti!$A$2:$A$3000=A222)*Parti!$C$2:$C$3000*Parti!$D$2:$D$3000*Parti!$E$2:$E$3000)</f>
        <v>300</v>
      </c>
      <c r="L222" s="6" t="n">
        <f aca="false">ROUND((K222*Legenda!$H$2/100+SUMPRODUCT((Parti!$A$2:$A$3000=A222)*Parti!$C$2:$C$3000*Parti!$D$2:$D$3000*(Parti!$F$2:$F$3000+Parti!$J$2:$J$3000)))/60,0)</f>
        <v>12</v>
      </c>
      <c r="M222" s="5"/>
      <c r="N222" s="5" t="s">
        <v>42</v>
      </c>
      <c r="O222" s="5" t="s">
        <v>43</v>
      </c>
    </row>
    <row r="223" customFormat="false" ht="15" hidden="false" customHeight="false" outlineLevel="0" collapsed="false">
      <c r="A223" s="5" t="s">
        <v>749</v>
      </c>
      <c r="B223" s="5" t="s">
        <v>69</v>
      </c>
      <c r="C223" s="5" t="s">
        <v>428</v>
      </c>
      <c r="D223" s="5" t="s">
        <v>722</v>
      </c>
      <c r="E223" s="5" t="s">
        <v>149</v>
      </c>
      <c r="F223" s="5" t="s">
        <v>750</v>
      </c>
      <c r="G223" s="5" t="s">
        <v>751</v>
      </c>
      <c r="H223" s="5" t="s">
        <v>119</v>
      </c>
      <c r="I223" s="5" t="s">
        <v>53</v>
      </c>
      <c r="J223" s="5"/>
      <c r="K223" s="6" t="n">
        <f aca="false">SUMPRODUCT((Parti!$A$2:$A$3000=A223)*Parti!$C$2:$C$3000*Parti!$D$2:$D$3000*Parti!$E$2:$E$3000)</f>
        <v>300</v>
      </c>
      <c r="L223" s="6" t="n">
        <f aca="false">ROUND((K223*Legenda!$H$2/100+SUMPRODUCT((Parti!$A$2:$A$3000=A223)*Parti!$C$2:$C$3000*Parti!$D$2:$D$3000*(Parti!$F$2:$F$3000+Parti!$J$2:$J$3000)))/60,0)</f>
        <v>12</v>
      </c>
      <c r="M223" s="5"/>
      <c r="N223" s="5" t="s">
        <v>42</v>
      </c>
      <c r="O223" s="5" t="s">
        <v>43</v>
      </c>
    </row>
    <row r="224" customFormat="false" ht="15" hidden="false" customHeight="false" outlineLevel="0" collapsed="false">
      <c r="A224" s="5" t="s">
        <v>752</v>
      </c>
      <c r="B224" s="5" t="s">
        <v>69</v>
      </c>
      <c r="C224" s="5" t="s">
        <v>428</v>
      </c>
      <c r="D224" s="5" t="s">
        <v>722</v>
      </c>
      <c r="E224" s="5" t="s">
        <v>149</v>
      </c>
      <c r="F224" s="5" t="s">
        <v>753</v>
      </c>
      <c r="G224" s="5" t="s">
        <v>754</v>
      </c>
      <c r="H224" s="5" t="s">
        <v>123</v>
      </c>
      <c r="I224" s="5" t="s">
        <v>53</v>
      </c>
      <c r="J224" s="5"/>
      <c r="K224" s="6" t="n">
        <f aca="false">SUMPRODUCT((Parti!$A$2:$A$3000=A224)*Parti!$C$2:$C$3000*Parti!$D$2:$D$3000*Parti!$E$2:$E$3000)</f>
        <v>300</v>
      </c>
      <c r="L224" s="6" t="n">
        <f aca="false">ROUND((K224*Legenda!$H$2/100+SUMPRODUCT((Parti!$A$2:$A$3000=A224)*Parti!$C$2:$C$3000*Parti!$D$2:$D$3000*(Parti!$F$2:$F$3000+Parti!$J$2:$J$3000)))/60,0)</f>
        <v>12</v>
      </c>
      <c r="M224" s="5"/>
      <c r="N224" s="5" t="s">
        <v>42</v>
      </c>
      <c r="O224" s="5" t="s">
        <v>43</v>
      </c>
    </row>
    <row r="225" customFormat="false" ht="15" hidden="false" customHeight="false" outlineLevel="0" collapsed="false">
      <c r="A225" s="5" t="s">
        <v>755</v>
      </c>
      <c r="B225" s="5" t="s">
        <v>69</v>
      </c>
      <c r="C225" s="5" t="s">
        <v>428</v>
      </c>
      <c r="D225" s="5" t="s">
        <v>722</v>
      </c>
      <c r="E225" s="5" t="s">
        <v>149</v>
      </c>
      <c r="F225" s="5" t="s">
        <v>756</v>
      </c>
      <c r="G225" s="5" t="s">
        <v>757</v>
      </c>
      <c r="H225" s="5" t="s">
        <v>48</v>
      </c>
      <c r="I225" s="5" t="s">
        <v>53</v>
      </c>
      <c r="J225" s="5"/>
      <c r="K225" s="6" t="n">
        <f aca="false">SUMPRODUCT((Parti!$A$2:$A$3000=A225)*Parti!$C$2:$C$3000*Parti!$D$2:$D$3000*Parti!$E$2:$E$3000)</f>
        <v>200</v>
      </c>
      <c r="L225" s="6" t="n">
        <f aca="false">ROUND((K225*Legenda!$H$2/100+SUMPRODUCT((Parti!$A$2:$A$3000=A225)*Parti!$C$2:$C$3000*Parti!$D$2:$D$3000*(Parti!$F$2:$F$3000+Parti!$J$2:$J$3000)))/60,0)</f>
        <v>4</v>
      </c>
      <c r="M225" s="5"/>
      <c r="N225" s="5" t="s">
        <v>42</v>
      </c>
      <c r="O225" s="5" t="s">
        <v>43</v>
      </c>
    </row>
    <row r="226" customFormat="false" ht="15" hidden="false" customHeight="false" outlineLevel="0" collapsed="false">
      <c r="A226" s="5" t="s">
        <v>758</v>
      </c>
      <c r="B226" s="5" t="s">
        <v>69</v>
      </c>
      <c r="C226" s="5" t="s">
        <v>428</v>
      </c>
      <c r="D226" s="5" t="s">
        <v>722</v>
      </c>
      <c r="E226" s="5" t="s">
        <v>149</v>
      </c>
      <c r="F226" s="5" t="s">
        <v>759</v>
      </c>
      <c r="G226" s="5" t="s">
        <v>760</v>
      </c>
      <c r="H226" s="5" t="s">
        <v>115</v>
      </c>
      <c r="I226" s="5" t="s">
        <v>53</v>
      </c>
      <c r="J226" s="5"/>
      <c r="K226" s="6" t="n">
        <f aca="false">SUMPRODUCT((Parti!$A$2:$A$3000=A226)*Parti!$C$2:$C$3000*Parti!$D$2:$D$3000*Parti!$E$2:$E$3000)</f>
        <v>200</v>
      </c>
      <c r="L226" s="6" t="n">
        <f aca="false">ROUND((K226*Legenda!$H$2/100+SUMPRODUCT((Parti!$A$2:$A$3000=A226)*Parti!$C$2:$C$3000*Parti!$D$2:$D$3000*(Parti!$F$2:$F$3000+Parti!$J$2:$J$3000)))/60,0)</f>
        <v>4</v>
      </c>
      <c r="M226" s="5"/>
      <c r="N226" s="5" t="s">
        <v>42</v>
      </c>
      <c r="O226" s="5" t="s">
        <v>43</v>
      </c>
    </row>
    <row r="227" customFormat="false" ht="15" hidden="false" customHeight="false" outlineLevel="0" collapsed="false">
      <c r="A227" s="5" t="s">
        <v>761</v>
      </c>
      <c r="B227" s="5" t="s">
        <v>69</v>
      </c>
      <c r="C227" s="5" t="s">
        <v>428</v>
      </c>
      <c r="D227" s="5" t="s">
        <v>722</v>
      </c>
      <c r="E227" s="5" t="s">
        <v>149</v>
      </c>
      <c r="F227" s="5" t="s">
        <v>762</v>
      </c>
      <c r="G227" s="5" t="s">
        <v>763</v>
      </c>
      <c r="H227" s="5" t="s">
        <v>119</v>
      </c>
      <c r="I227" s="5" t="s">
        <v>53</v>
      </c>
      <c r="J227" s="5"/>
      <c r="K227" s="6" t="n">
        <f aca="false">SUMPRODUCT((Parti!$A$2:$A$3000=A227)*Parti!$C$2:$C$3000*Parti!$D$2:$D$3000*Parti!$E$2:$E$3000)</f>
        <v>200</v>
      </c>
      <c r="L227" s="6" t="n">
        <f aca="false">ROUND((K227*Legenda!$H$2/100+SUMPRODUCT((Parti!$A$2:$A$3000=A227)*Parti!$C$2:$C$3000*Parti!$D$2:$D$3000*(Parti!$F$2:$F$3000+Parti!$J$2:$J$3000)))/60,0)</f>
        <v>4</v>
      </c>
      <c r="M227" s="5"/>
      <c r="N227" s="5" t="s">
        <v>42</v>
      </c>
      <c r="O227" s="5" t="s">
        <v>43</v>
      </c>
    </row>
    <row r="228" customFormat="false" ht="15" hidden="false" customHeight="false" outlineLevel="0" collapsed="false">
      <c r="A228" s="5" t="s">
        <v>764</v>
      </c>
      <c r="B228" s="5" t="s">
        <v>69</v>
      </c>
      <c r="C228" s="5" t="s">
        <v>428</v>
      </c>
      <c r="D228" s="5" t="s">
        <v>722</v>
      </c>
      <c r="E228" s="5" t="s">
        <v>149</v>
      </c>
      <c r="F228" s="5" t="s">
        <v>765</v>
      </c>
      <c r="G228" s="5" t="s">
        <v>766</v>
      </c>
      <c r="H228" s="5" t="s">
        <v>123</v>
      </c>
      <c r="I228" s="5" t="s">
        <v>53</v>
      </c>
      <c r="J228" s="5"/>
      <c r="K228" s="6" t="n">
        <f aca="false">SUMPRODUCT((Parti!$A$2:$A$3000=A228)*Parti!$C$2:$C$3000*Parti!$D$2:$D$3000*Parti!$E$2:$E$3000)</f>
        <v>200</v>
      </c>
      <c r="L228" s="6" t="n">
        <f aca="false">ROUND((K228*Legenda!$H$2/100+SUMPRODUCT((Parti!$A$2:$A$3000=A228)*Parti!$C$2:$C$3000*Parti!$D$2:$D$3000*(Parti!$F$2:$F$3000+Parti!$J$2:$J$3000)))/60,0)</f>
        <v>4</v>
      </c>
      <c r="M228" s="5"/>
      <c r="N228" s="5" t="s">
        <v>42</v>
      </c>
      <c r="O228" s="5" t="s">
        <v>43</v>
      </c>
    </row>
    <row r="229" customFormat="false" ht="15" hidden="false" customHeight="false" outlineLevel="0" collapsed="false">
      <c r="A229" s="5" t="s">
        <v>767</v>
      </c>
      <c r="B229" s="5" t="s">
        <v>69</v>
      </c>
      <c r="C229" s="5" t="s">
        <v>428</v>
      </c>
      <c r="D229" s="5" t="s">
        <v>348</v>
      </c>
      <c r="E229" s="5" t="s">
        <v>108</v>
      </c>
      <c r="F229" s="5" t="s">
        <v>768</v>
      </c>
      <c r="G229" s="5" t="s">
        <v>769</v>
      </c>
      <c r="H229" s="5" t="s">
        <v>52</v>
      </c>
      <c r="I229" s="5" t="s">
        <v>53</v>
      </c>
      <c r="J229" s="5"/>
      <c r="K229" s="6" t="n">
        <f aca="false">SUMPRODUCT((Parti!$A$2:$A$3000=A229)*Parti!$C$2:$C$3000*Parti!$D$2:$D$3000*Parti!$E$2:$E$3000)</f>
        <v>400</v>
      </c>
      <c r="L229" s="6" t="n">
        <f aca="false">ROUND((K229*Legenda!$H$2/100+SUMPRODUCT((Parti!$A$2:$A$3000=A229)*Parti!$C$2:$C$3000*Parti!$D$2:$D$3000*(Parti!$F$2:$F$3000+Parti!$J$2:$J$3000)))/60,0)</f>
        <v>9</v>
      </c>
      <c r="M229" s="5"/>
      <c r="N229" s="5" t="s">
        <v>42</v>
      </c>
      <c r="O229" s="5" t="s">
        <v>43</v>
      </c>
    </row>
    <row r="230" customFormat="false" ht="15" hidden="false" customHeight="false" outlineLevel="0" collapsed="false">
      <c r="A230" s="5" t="s">
        <v>770</v>
      </c>
      <c r="B230" s="5" t="s">
        <v>34</v>
      </c>
      <c r="C230" s="5" t="s">
        <v>428</v>
      </c>
      <c r="D230" s="5" t="s">
        <v>45</v>
      </c>
      <c r="E230" s="5" t="s">
        <v>343</v>
      </c>
      <c r="F230" s="5" t="s">
        <v>771</v>
      </c>
      <c r="G230" s="5" t="s">
        <v>772</v>
      </c>
      <c r="H230" s="5" t="s">
        <v>52</v>
      </c>
      <c r="I230" s="5" t="s">
        <v>41</v>
      </c>
      <c r="J230" s="5"/>
      <c r="K230" s="6" t="n">
        <f aca="false">SUMPRODUCT((Parti!$A$2:$A$3000=A230)*Parti!$C$2:$C$3000*Parti!$D$2:$D$3000*Parti!$E$2:$E$3000)</f>
        <v>800</v>
      </c>
      <c r="L230" s="6" t="n">
        <f aca="false">ROUND((K230*Legenda!$H$2/100+SUMPRODUCT((Parti!$A$2:$A$3000=A230)*Parti!$C$2:$C$3000*Parti!$D$2:$D$3000*(Parti!$F$2:$F$3000+Parti!$J$2:$J$3000)))/60,0)</f>
        <v>17</v>
      </c>
      <c r="M230" s="5"/>
      <c r="N230" s="5" t="s">
        <v>42</v>
      </c>
      <c r="O230" s="5" t="s">
        <v>43</v>
      </c>
    </row>
    <row r="231" customFormat="false" ht="15" hidden="false" customHeight="false" outlineLevel="0" collapsed="false">
      <c r="A231" s="5" t="s">
        <v>773</v>
      </c>
      <c r="B231" s="5" t="s">
        <v>69</v>
      </c>
      <c r="C231" s="5" t="s">
        <v>428</v>
      </c>
      <c r="D231" s="5" t="s">
        <v>542</v>
      </c>
      <c r="E231" s="5" t="s">
        <v>139</v>
      </c>
      <c r="F231" s="5" t="s">
        <v>774</v>
      </c>
      <c r="G231" s="5" t="s">
        <v>775</v>
      </c>
      <c r="H231" s="5" t="s">
        <v>52</v>
      </c>
      <c r="I231" s="5" t="s">
        <v>53</v>
      </c>
      <c r="J231" s="5"/>
      <c r="K231" s="6" t="n">
        <f aca="false">SUMPRODUCT((Parti!$A$2:$A$3000=A231)*Parti!$C$2:$C$3000*Parti!$D$2:$D$3000*Parti!$E$2:$E$3000)</f>
        <v>600</v>
      </c>
      <c r="L231" s="6" t="n">
        <f aca="false">ROUND((K231*Legenda!$H$2/100+SUMPRODUCT((Parti!$A$2:$A$3000=A231)*Parti!$C$2:$C$3000*Parti!$D$2:$D$3000*(Parti!$F$2:$F$3000+Parti!$J$2:$J$3000)))/60,0)</f>
        <v>15</v>
      </c>
      <c r="M231" s="5"/>
      <c r="N231" s="5" t="s">
        <v>42</v>
      </c>
      <c r="O231" s="5" t="s">
        <v>43</v>
      </c>
    </row>
    <row r="232" customFormat="false" ht="15" hidden="false" customHeight="false" outlineLevel="0" collapsed="false">
      <c r="A232" s="5" t="s">
        <v>776</v>
      </c>
      <c r="B232" s="5" t="s">
        <v>69</v>
      </c>
      <c r="C232" s="5" t="s">
        <v>428</v>
      </c>
      <c r="D232" s="5" t="s">
        <v>585</v>
      </c>
      <c r="E232" s="5" t="s">
        <v>586</v>
      </c>
      <c r="F232" s="5" t="s">
        <v>777</v>
      </c>
      <c r="G232" s="5" t="s">
        <v>778</v>
      </c>
      <c r="H232" s="5" t="s">
        <v>52</v>
      </c>
      <c r="I232" s="5" t="s">
        <v>53</v>
      </c>
      <c r="J232" s="5"/>
      <c r="K232" s="6" t="n">
        <f aca="false">SUMPRODUCT((Parti!$A$2:$A$3000=A232)*Parti!$C$2:$C$3000*Parti!$D$2:$D$3000*Parti!$E$2:$E$3000)</f>
        <v>400</v>
      </c>
      <c r="L232" s="6" t="n">
        <f aca="false">ROUND((K232*Legenda!$H$2/100+SUMPRODUCT((Parti!$A$2:$A$3000=A232)*Parti!$C$2:$C$3000*Parti!$D$2:$D$3000*(Parti!$F$2:$F$3000+Parti!$J$2:$J$3000)))/60,0)</f>
        <v>15</v>
      </c>
      <c r="M232" s="5"/>
      <c r="N232" s="5" t="s">
        <v>42</v>
      </c>
      <c r="O232" s="5" t="s">
        <v>43</v>
      </c>
    </row>
    <row r="233" customFormat="false" ht="15" hidden="false" customHeight="false" outlineLevel="0" collapsed="false">
      <c r="A233" s="5" t="s">
        <v>779</v>
      </c>
      <c r="B233" s="5" t="s">
        <v>34</v>
      </c>
      <c r="C233" s="5" t="s">
        <v>428</v>
      </c>
      <c r="D233" s="5" t="s">
        <v>45</v>
      </c>
      <c r="E233" s="5" t="s">
        <v>343</v>
      </c>
      <c r="F233" s="5" t="s">
        <v>780</v>
      </c>
      <c r="G233" s="5" t="s">
        <v>781</v>
      </c>
      <c r="H233" s="5" t="s">
        <v>52</v>
      </c>
      <c r="I233" s="5" t="s">
        <v>41</v>
      </c>
      <c r="J233" s="5"/>
      <c r="K233" s="6" t="n">
        <f aca="false">SUMPRODUCT((Parti!$A$2:$A$3000=A233)*Parti!$C$2:$C$3000*Parti!$D$2:$D$3000*Parti!$E$2:$E$3000)</f>
        <v>600</v>
      </c>
      <c r="L233" s="6" t="n">
        <f aca="false">ROUND((K233*Legenda!$H$2/100+SUMPRODUCT((Parti!$A$2:$A$3000=A233)*Parti!$C$2:$C$3000*Parti!$D$2:$D$3000*(Parti!$F$2:$F$3000+Parti!$J$2:$J$3000)))/60,0)</f>
        <v>14</v>
      </c>
      <c r="M233" s="5"/>
      <c r="N233" s="5" t="s">
        <v>42</v>
      </c>
      <c r="O233" s="5" t="s">
        <v>43</v>
      </c>
    </row>
    <row r="234" customFormat="false" ht="15" hidden="false" customHeight="false" outlineLevel="0" collapsed="false">
      <c r="A234" s="5" t="s">
        <v>782</v>
      </c>
      <c r="B234" s="5" t="s">
        <v>34</v>
      </c>
      <c r="C234" s="5" t="s">
        <v>428</v>
      </c>
      <c r="D234" s="5" t="s">
        <v>45</v>
      </c>
      <c r="E234" s="5" t="s">
        <v>343</v>
      </c>
      <c r="F234" s="5" t="s">
        <v>783</v>
      </c>
      <c r="G234" s="5" t="s">
        <v>784</v>
      </c>
      <c r="H234" s="5" t="s">
        <v>48</v>
      </c>
      <c r="I234" s="5" t="s">
        <v>67</v>
      </c>
      <c r="J234" s="5"/>
      <c r="K234" s="6" t="n">
        <f aca="false">SUMPRODUCT((Parti!$A$2:$A$3000=A234)*Parti!$C$2:$C$3000*Parti!$D$2:$D$3000*Parti!$E$2:$E$3000)</f>
        <v>300</v>
      </c>
      <c r="L234" s="6" t="n">
        <f aca="false">ROUND((K234*Legenda!$H$2/100+SUMPRODUCT((Parti!$A$2:$A$3000=A234)*Parti!$C$2:$C$3000*Parti!$D$2:$D$3000*(Parti!$F$2:$F$3000+Parti!$J$2:$J$3000)))/60,0)</f>
        <v>8</v>
      </c>
      <c r="M234" s="5"/>
      <c r="N234" s="5" t="s">
        <v>42</v>
      </c>
      <c r="O234" s="5" t="s">
        <v>43</v>
      </c>
    </row>
    <row r="235" customFormat="false" ht="15" hidden="false" customHeight="false" outlineLevel="0" collapsed="false">
      <c r="A235" s="5" t="s">
        <v>785</v>
      </c>
      <c r="B235" s="5" t="s">
        <v>34</v>
      </c>
      <c r="C235" s="5" t="s">
        <v>428</v>
      </c>
      <c r="D235" s="5" t="s">
        <v>45</v>
      </c>
      <c r="E235" s="5" t="s">
        <v>343</v>
      </c>
      <c r="F235" s="5" t="s">
        <v>786</v>
      </c>
      <c r="G235" s="5" t="s">
        <v>787</v>
      </c>
      <c r="H235" s="5" t="s">
        <v>48</v>
      </c>
      <c r="I235" s="5" t="s">
        <v>67</v>
      </c>
      <c r="J235" s="5"/>
      <c r="K235" s="6" t="n">
        <f aca="false">SUMPRODUCT((Parti!$A$2:$A$3000=A235)*Parti!$C$2:$C$3000*Parti!$D$2:$D$3000*Parti!$E$2:$E$3000)</f>
        <v>400</v>
      </c>
      <c r="L235" s="6" t="n">
        <f aca="false">ROUND((K235*Legenda!$H$2/100+SUMPRODUCT((Parti!$A$2:$A$3000=A235)*Parti!$C$2:$C$3000*Parti!$D$2:$D$3000*(Parti!$F$2:$F$3000+Parti!$J$2:$J$3000)))/60,0)</f>
        <v>9</v>
      </c>
      <c r="M235" s="5"/>
      <c r="N235" s="5" t="s">
        <v>42</v>
      </c>
      <c r="O235" s="5" t="s">
        <v>43</v>
      </c>
    </row>
    <row r="236" customFormat="false" ht="15" hidden="false" customHeight="false" outlineLevel="0" collapsed="false">
      <c r="A236" s="5" t="s">
        <v>788</v>
      </c>
      <c r="B236" s="5" t="s">
        <v>34</v>
      </c>
      <c r="C236" s="5" t="s">
        <v>428</v>
      </c>
      <c r="D236" s="5" t="s">
        <v>45</v>
      </c>
      <c r="E236" s="5" t="s">
        <v>343</v>
      </c>
      <c r="F236" s="5" t="s">
        <v>789</v>
      </c>
      <c r="G236" s="5" t="s">
        <v>790</v>
      </c>
      <c r="H236" s="5" t="s">
        <v>52</v>
      </c>
      <c r="I236" s="5" t="s">
        <v>67</v>
      </c>
      <c r="J236" s="5"/>
      <c r="K236" s="6" t="n">
        <f aca="false">SUMPRODUCT((Parti!$A$2:$A$3000=A236)*Parti!$C$2:$C$3000*Parti!$D$2:$D$3000*Parti!$E$2:$E$3000)</f>
        <v>200</v>
      </c>
      <c r="L236" s="6" t="n">
        <f aca="false">ROUND((K236*Legenda!$H$2/100+SUMPRODUCT((Parti!$A$2:$A$3000=A236)*Parti!$C$2:$C$3000*Parti!$D$2:$D$3000*(Parti!$F$2:$F$3000+Parti!$J$2:$J$3000)))/60,0)</f>
        <v>6</v>
      </c>
      <c r="M236" s="5"/>
      <c r="N236" s="5" t="s">
        <v>42</v>
      </c>
      <c r="O236" s="5" t="s">
        <v>43</v>
      </c>
    </row>
    <row r="237" customFormat="false" ht="15" hidden="false" customHeight="false" outlineLevel="0" collapsed="false">
      <c r="A237" s="5" t="s">
        <v>791</v>
      </c>
      <c r="B237" s="5" t="s">
        <v>69</v>
      </c>
      <c r="C237" s="5" t="s">
        <v>428</v>
      </c>
      <c r="D237" s="5" t="s">
        <v>45</v>
      </c>
      <c r="E237" s="5" t="s">
        <v>343</v>
      </c>
      <c r="F237" s="5" t="s">
        <v>792</v>
      </c>
      <c r="G237" s="5" t="s">
        <v>793</v>
      </c>
      <c r="H237" s="5" t="s">
        <v>115</v>
      </c>
      <c r="I237" s="5" t="s">
        <v>67</v>
      </c>
      <c r="J237" s="5"/>
      <c r="K237" s="6" t="n">
        <f aca="false">SUMPRODUCT((Parti!$A$2:$A$3000=A237)*Parti!$C$2:$C$3000*Parti!$D$2:$D$3000*Parti!$E$2:$E$3000)</f>
        <v>200</v>
      </c>
      <c r="L237" s="6" t="n">
        <f aca="false">ROUND((K237*Legenda!$H$2/100+SUMPRODUCT((Parti!$A$2:$A$3000=A237)*Parti!$C$2:$C$3000*Parti!$D$2:$D$3000*(Parti!$F$2:$F$3000+Parti!$J$2:$J$3000)))/60,0)</f>
        <v>5</v>
      </c>
      <c r="M237" s="5"/>
      <c r="N237" s="5" t="s">
        <v>42</v>
      </c>
      <c r="O237" s="5" t="s">
        <v>43</v>
      </c>
    </row>
    <row r="238" customFormat="false" ht="15" hidden="false" customHeight="false" outlineLevel="0" collapsed="false">
      <c r="A238" s="5" t="s">
        <v>794</v>
      </c>
      <c r="B238" s="5" t="s">
        <v>69</v>
      </c>
      <c r="C238" s="5" t="s">
        <v>428</v>
      </c>
      <c r="D238" s="5" t="s">
        <v>45</v>
      </c>
      <c r="E238" s="5" t="s">
        <v>343</v>
      </c>
      <c r="F238" s="5" t="s">
        <v>795</v>
      </c>
      <c r="G238" s="5" t="s">
        <v>796</v>
      </c>
      <c r="H238" s="5" t="s">
        <v>119</v>
      </c>
      <c r="I238" s="5" t="s">
        <v>67</v>
      </c>
      <c r="J238" s="5"/>
      <c r="K238" s="6" t="n">
        <f aca="false">SUMPRODUCT((Parti!$A$2:$A$3000=A238)*Parti!$C$2:$C$3000*Parti!$D$2:$D$3000*Parti!$E$2:$E$3000)</f>
        <v>200</v>
      </c>
      <c r="L238" s="6" t="n">
        <f aca="false">ROUND((K238*Legenda!$H$2/100+SUMPRODUCT((Parti!$A$2:$A$3000=A238)*Parti!$C$2:$C$3000*Parti!$D$2:$D$3000*(Parti!$F$2:$F$3000+Parti!$J$2:$J$3000)))/60,0)</f>
        <v>5</v>
      </c>
      <c r="M238" s="5"/>
      <c r="N238" s="5" t="s">
        <v>42</v>
      </c>
      <c r="O238" s="5" t="s">
        <v>43</v>
      </c>
    </row>
    <row r="239" customFormat="false" ht="15" hidden="false" customHeight="false" outlineLevel="0" collapsed="false">
      <c r="A239" s="5" t="s">
        <v>797</v>
      </c>
      <c r="B239" s="5" t="s">
        <v>34</v>
      </c>
      <c r="C239" s="5" t="s">
        <v>428</v>
      </c>
      <c r="D239" s="5" t="s">
        <v>348</v>
      </c>
      <c r="E239" s="5" t="s">
        <v>108</v>
      </c>
      <c r="F239" s="5" t="s">
        <v>798</v>
      </c>
      <c r="G239" s="5" t="s">
        <v>799</v>
      </c>
      <c r="H239" s="5" t="s">
        <v>133</v>
      </c>
      <c r="I239" s="5" t="s">
        <v>67</v>
      </c>
      <c r="J239" s="5"/>
      <c r="K239" s="6" t="n">
        <f aca="false">SUMPRODUCT((Parti!$A$2:$A$3000=A239)*Parti!$C$2:$C$3000*Parti!$D$2:$D$3000*Parti!$E$2:$E$3000)</f>
        <v>300</v>
      </c>
      <c r="L239" s="6" t="n">
        <f aca="false">ROUND((K239*Legenda!$H$2/100+SUMPRODUCT((Parti!$A$2:$A$3000=A239)*Parti!$C$2:$C$3000*Parti!$D$2:$D$3000*(Parti!$F$2:$F$3000+Parti!$J$2:$J$3000)))/60,0)</f>
        <v>9</v>
      </c>
      <c r="M239" s="5"/>
      <c r="N239" s="5" t="s">
        <v>42</v>
      </c>
      <c r="O239" s="5" t="s">
        <v>43</v>
      </c>
    </row>
    <row r="240" customFormat="false" ht="15" hidden="false" customHeight="false" outlineLevel="0" collapsed="false">
      <c r="A240" s="5" t="s">
        <v>800</v>
      </c>
      <c r="B240" s="5" t="s">
        <v>34</v>
      </c>
      <c r="C240" s="5" t="s">
        <v>428</v>
      </c>
      <c r="D240" s="5" t="s">
        <v>45</v>
      </c>
      <c r="E240" s="5" t="s">
        <v>343</v>
      </c>
      <c r="F240" s="5" t="s">
        <v>801</v>
      </c>
      <c r="G240" s="5" t="s">
        <v>802</v>
      </c>
      <c r="H240" s="5" t="s">
        <v>52</v>
      </c>
      <c r="I240" s="5" t="s">
        <v>67</v>
      </c>
      <c r="J240" s="5"/>
      <c r="K240" s="6" t="n">
        <f aca="false">SUMPRODUCT((Parti!$A$2:$A$3000=A240)*Parti!$C$2:$C$3000*Parti!$D$2:$D$3000*Parti!$E$2:$E$3000)</f>
        <v>200</v>
      </c>
      <c r="L240" s="6" t="n">
        <f aca="false">ROUND((K240*Legenda!$H$2/100+SUMPRODUCT((Parti!$A$2:$A$3000=A240)*Parti!$C$2:$C$3000*Parti!$D$2:$D$3000*(Parti!$F$2:$F$3000+Parti!$J$2:$J$3000)))/60,0)</f>
        <v>5</v>
      </c>
      <c r="M240" s="5"/>
      <c r="N240" s="5" t="s">
        <v>42</v>
      </c>
      <c r="O240" s="5" t="s">
        <v>43</v>
      </c>
    </row>
    <row r="241" customFormat="false" ht="15" hidden="false" customHeight="false" outlineLevel="0" collapsed="false">
      <c r="A241" s="5" t="s">
        <v>803</v>
      </c>
      <c r="B241" s="5" t="s">
        <v>34</v>
      </c>
      <c r="C241" s="5" t="s">
        <v>428</v>
      </c>
      <c r="D241" s="5" t="s">
        <v>98</v>
      </c>
      <c r="E241" s="5" t="s">
        <v>135</v>
      </c>
      <c r="F241" s="5" t="s">
        <v>804</v>
      </c>
      <c r="G241" s="5" t="s">
        <v>805</v>
      </c>
      <c r="H241" s="5" t="s">
        <v>133</v>
      </c>
      <c r="I241" s="5" t="s">
        <v>67</v>
      </c>
      <c r="J241" s="5"/>
      <c r="K241" s="6" t="n">
        <f aca="false">SUMPRODUCT((Parti!$A$2:$A$3000=A241)*Parti!$C$2:$C$3000*Parti!$D$2:$D$3000*Parti!$E$2:$E$3000)</f>
        <v>100</v>
      </c>
      <c r="L241" s="6" t="n">
        <f aca="false">ROUND((K241*Legenda!$H$2/100+SUMPRODUCT((Parti!$A$2:$A$3000=A241)*Parti!$C$2:$C$3000*Parti!$D$2:$D$3000*(Parti!$F$2:$F$3000+Parti!$J$2:$J$3000)))/60,0)</f>
        <v>6</v>
      </c>
      <c r="M241" s="5"/>
      <c r="N241" s="5" t="s">
        <v>42</v>
      </c>
      <c r="O241" s="5" t="s">
        <v>43</v>
      </c>
    </row>
    <row r="242" customFormat="false" ht="15" hidden="false" customHeight="false" outlineLevel="0" collapsed="false">
      <c r="A242" s="5" t="s">
        <v>806</v>
      </c>
      <c r="B242" s="5" t="s">
        <v>34</v>
      </c>
      <c r="C242" s="5" t="s">
        <v>428</v>
      </c>
      <c r="D242" s="5" t="s">
        <v>45</v>
      </c>
      <c r="E242" s="5" t="s">
        <v>343</v>
      </c>
      <c r="F242" s="5" t="s">
        <v>807</v>
      </c>
      <c r="G242" s="5" t="s">
        <v>808</v>
      </c>
      <c r="H242" s="5" t="s">
        <v>48</v>
      </c>
      <c r="I242" s="5" t="s">
        <v>75</v>
      </c>
      <c r="J242" s="5"/>
      <c r="K242" s="6" t="n">
        <f aca="false">SUMPRODUCT((Parti!$A$2:$A$3000=A242)*Parti!$C$2:$C$3000*Parti!$D$2:$D$3000*Parti!$E$2:$E$3000)</f>
        <v>1000</v>
      </c>
      <c r="L242" s="6" t="n">
        <f aca="false">ROUND((K242*Legenda!$H$2/100+SUMPRODUCT((Parti!$A$2:$A$3000=A242)*Parti!$C$2:$C$3000*Parti!$D$2:$D$3000*(Parti!$F$2:$F$3000+Parti!$J$2:$J$3000)))/60,0)</f>
        <v>22</v>
      </c>
      <c r="M242" s="5"/>
      <c r="N242" s="5" t="s">
        <v>42</v>
      </c>
      <c r="O242" s="5" t="s">
        <v>43</v>
      </c>
    </row>
    <row r="243" customFormat="false" ht="15" hidden="false" customHeight="false" outlineLevel="0" collapsed="false">
      <c r="A243" s="5" t="s">
        <v>809</v>
      </c>
      <c r="B243" s="5" t="s">
        <v>34</v>
      </c>
      <c r="C243" s="5" t="s">
        <v>428</v>
      </c>
      <c r="D243" s="5" t="s">
        <v>348</v>
      </c>
      <c r="E243" s="5" t="s">
        <v>108</v>
      </c>
      <c r="F243" s="5" t="s">
        <v>810</v>
      </c>
      <c r="G243" s="5" t="s">
        <v>811</v>
      </c>
      <c r="H243" s="5" t="s">
        <v>133</v>
      </c>
      <c r="I243" s="5" t="s">
        <v>75</v>
      </c>
      <c r="J243" s="5"/>
      <c r="K243" s="6" t="n">
        <f aca="false">SUMPRODUCT((Parti!$A$2:$A$3000=A243)*Parti!$C$2:$C$3000*Parti!$D$2:$D$3000*Parti!$E$2:$E$3000)</f>
        <v>1200</v>
      </c>
      <c r="L243" s="6" t="n">
        <f aca="false">ROUND((K243*Legenda!$H$2/100+SUMPRODUCT((Parti!$A$2:$A$3000=A243)*Parti!$C$2:$C$3000*Parti!$D$2:$D$3000*(Parti!$F$2:$F$3000+Parti!$J$2:$J$3000)))/60,0)</f>
        <v>25</v>
      </c>
      <c r="M243" s="5"/>
      <c r="N243" s="5" t="s">
        <v>42</v>
      </c>
      <c r="O243" s="5" t="s">
        <v>43</v>
      </c>
    </row>
    <row r="244" customFormat="false" ht="15" hidden="false" customHeight="false" outlineLevel="0" collapsed="false">
      <c r="A244" s="5" t="s">
        <v>812</v>
      </c>
      <c r="B244" s="5" t="s">
        <v>34</v>
      </c>
      <c r="C244" s="5" t="s">
        <v>428</v>
      </c>
      <c r="D244" s="5" t="s">
        <v>98</v>
      </c>
      <c r="E244" s="5" t="s">
        <v>135</v>
      </c>
      <c r="F244" s="5" t="s">
        <v>813</v>
      </c>
      <c r="G244" s="5" t="s">
        <v>814</v>
      </c>
      <c r="H244" s="5" t="s">
        <v>133</v>
      </c>
      <c r="I244" s="5" t="s">
        <v>75</v>
      </c>
      <c r="J244" s="5"/>
      <c r="K244" s="6" t="n">
        <f aca="false">SUMPRODUCT((Parti!$A$2:$A$3000=A244)*Parti!$C$2:$C$3000*Parti!$D$2:$D$3000*Parti!$E$2:$E$3000)</f>
        <v>200</v>
      </c>
      <c r="L244" s="6" t="n">
        <f aca="false">ROUND((K244*Legenda!$H$2/100+SUMPRODUCT((Parti!$A$2:$A$3000=A244)*Parti!$C$2:$C$3000*Parti!$D$2:$D$3000*(Parti!$F$2:$F$3000+Parti!$J$2:$J$3000)))/60,0)</f>
        <v>10</v>
      </c>
      <c r="M244" s="5"/>
      <c r="N244" s="5" t="s">
        <v>42</v>
      </c>
      <c r="O244" s="5" t="s">
        <v>43</v>
      </c>
    </row>
    <row r="245" customFormat="false" ht="15" hidden="false" customHeight="false" outlineLevel="0" collapsed="false">
      <c r="A245" s="5" t="s">
        <v>815</v>
      </c>
      <c r="B245" s="5" t="s">
        <v>34</v>
      </c>
      <c r="C245" s="5" t="s">
        <v>816</v>
      </c>
      <c r="D245" s="5" t="s">
        <v>36</v>
      </c>
      <c r="E245" s="5" t="s">
        <v>37</v>
      </c>
      <c r="F245" s="5" t="s">
        <v>817</v>
      </c>
      <c r="G245" s="5" t="s">
        <v>818</v>
      </c>
      <c r="H245" s="5" t="s">
        <v>133</v>
      </c>
      <c r="I245" s="5" t="s">
        <v>111</v>
      </c>
      <c r="J245" s="5"/>
      <c r="K245" s="6" t="n">
        <f aca="false">SUMPRODUCT((Parti!$A$2:$A$3000=A245)*Parti!$C$2:$C$3000*Parti!$D$2:$D$3000*Parti!$E$2:$E$3000)</f>
        <v>200</v>
      </c>
      <c r="L245" s="6" t="n">
        <f aca="false">ROUND((K245*Legenda!$H$2/100+SUMPRODUCT((Parti!$A$2:$A$3000=A245)*Parti!$C$2:$C$3000*Parti!$D$2:$D$3000*(Parti!$F$2:$F$3000+Parti!$J$2:$J$3000)))/60,0)</f>
        <v>4</v>
      </c>
      <c r="M245" s="5"/>
      <c r="N245" s="5" t="s">
        <v>42</v>
      </c>
      <c r="O245" s="5" t="s">
        <v>43</v>
      </c>
    </row>
    <row r="246" customFormat="false" ht="15" hidden="false" customHeight="false" outlineLevel="0" collapsed="false">
      <c r="A246" s="5" t="s">
        <v>819</v>
      </c>
      <c r="B246" s="5" t="s">
        <v>34</v>
      </c>
      <c r="C246" s="5" t="s">
        <v>816</v>
      </c>
      <c r="D246" s="5" t="s">
        <v>36</v>
      </c>
      <c r="E246" s="5" t="s">
        <v>37</v>
      </c>
      <c r="F246" s="5" t="s">
        <v>820</v>
      </c>
      <c r="G246" s="5" t="s">
        <v>821</v>
      </c>
      <c r="H246" s="5" t="s">
        <v>52</v>
      </c>
      <c r="I246" s="5" t="s">
        <v>41</v>
      </c>
      <c r="J246" s="5"/>
      <c r="K246" s="6" t="n">
        <f aca="false">SUMPRODUCT((Parti!$A$2:$A$3000=A246)*Parti!$C$2:$C$3000*Parti!$D$2:$D$3000*Parti!$E$2:$E$3000)</f>
        <v>300</v>
      </c>
      <c r="L246" s="6" t="n">
        <f aca="false">ROUND((K246*Legenda!$H$2/100+SUMPRODUCT((Parti!$A$2:$A$3000=A246)*Parti!$C$2:$C$3000*Parti!$D$2:$D$3000*(Parti!$F$2:$F$3000+Parti!$J$2:$J$3000)))/60,0)</f>
        <v>6</v>
      </c>
      <c r="M246" s="5"/>
      <c r="N246" s="5" t="s">
        <v>42</v>
      </c>
      <c r="O246" s="5" t="s">
        <v>43</v>
      </c>
    </row>
    <row r="247" customFormat="false" ht="15" hidden="false" customHeight="false" outlineLevel="0" collapsed="false">
      <c r="A247" s="5" t="s">
        <v>822</v>
      </c>
      <c r="B247" s="5" t="s">
        <v>34</v>
      </c>
      <c r="C247" s="5" t="s">
        <v>816</v>
      </c>
      <c r="D247" s="5" t="s">
        <v>36</v>
      </c>
      <c r="E247" s="5" t="s">
        <v>37</v>
      </c>
      <c r="F247" s="5" t="s">
        <v>823</v>
      </c>
      <c r="G247" s="5" t="s">
        <v>824</v>
      </c>
      <c r="H247" s="5" t="s">
        <v>115</v>
      </c>
      <c r="I247" s="5" t="s">
        <v>111</v>
      </c>
      <c r="J247" s="5"/>
      <c r="K247" s="6" t="n">
        <f aca="false">SUMPRODUCT((Parti!$A$2:$A$3000=A247)*Parti!$C$2:$C$3000*Parti!$D$2:$D$3000*Parti!$E$2:$E$3000)</f>
        <v>200</v>
      </c>
      <c r="L247" s="6" t="n">
        <f aca="false">ROUND((K247*Legenda!$H$2/100+SUMPRODUCT((Parti!$A$2:$A$3000=A247)*Parti!$C$2:$C$3000*Parti!$D$2:$D$3000*(Parti!$F$2:$F$3000+Parti!$J$2:$J$3000)))/60,0)</f>
        <v>5</v>
      </c>
      <c r="M247" s="5"/>
      <c r="N247" s="5" t="s">
        <v>42</v>
      </c>
      <c r="O247" s="5" t="s">
        <v>43</v>
      </c>
    </row>
    <row r="248" customFormat="false" ht="15" hidden="false" customHeight="false" outlineLevel="0" collapsed="false">
      <c r="A248" s="5" t="s">
        <v>825</v>
      </c>
      <c r="B248" s="5" t="s">
        <v>34</v>
      </c>
      <c r="C248" s="5" t="s">
        <v>816</v>
      </c>
      <c r="D248" s="5" t="s">
        <v>36</v>
      </c>
      <c r="E248" s="5" t="s">
        <v>37</v>
      </c>
      <c r="F248" s="5" t="s">
        <v>826</v>
      </c>
      <c r="G248" s="5" t="s">
        <v>827</v>
      </c>
      <c r="H248" s="5" t="s">
        <v>40</v>
      </c>
      <c r="I248" s="5" t="s">
        <v>111</v>
      </c>
      <c r="J248" s="5"/>
      <c r="K248" s="6" t="n">
        <f aca="false">SUMPRODUCT((Parti!$A$2:$A$3000=A248)*Parti!$C$2:$C$3000*Parti!$D$2:$D$3000*Parti!$E$2:$E$3000)</f>
        <v>200</v>
      </c>
      <c r="L248" s="6" t="n">
        <f aca="false">ROUND((K248*Legenda!$H$2/100+SUMPRODUCT((Parti!$A$2:$A$3000=A248)*Parti!$C$2:$C$3000*Parti!$D$2:$D$3000*(Parti!$F$2:$F$3000+Parti!$J$2:$J$3000)))/60,0)</f>
        <v>4</v>
      </c>
      <c r="M248" s="5"/>
      <c r="N248" s="5" t="s">
        <v>42</v>
      </c>
      <c r="O248" s="5" t="s">
        <v>43</v>
      </c>
    </row>
    <row r="249" customFormat="false" ht="15" hidden="false" customHeight="false" outlineLevel="0" collapsed="false">
      <c r="A249" s="5" t="s">
        <v>828</v>
      </c>
      <c r="B249" s="5" t="s">
        <v>34</v>
      </c>
      <c r="C249" s="5" t="s">
        <v>816</v>
      </c>
      <c r="D249" s="5" t="s">
        <v>36</v>
      </c>
      <c r="E249" s="5" t="s">
        <v>37</v>
      </c>
      <c r="F249" s="5" t="s">
        <v>410</v>
      </c>
      <c r="G249" s="5" t="s">
        <v>829</v>
      </c>
      <c r="H249" s="5" t="s">
        <v>48</v>
      </c>
      <c r="I249" s="5" t="s">
        <v>830</v>
      </c>
      <c r="J249" s="5" t="s">
        <v>264</v>
      </c>
      <c r="K249" s="6" t="n">
        <f aca="false">SUMPRODUCT((Parti!$A$2:$A$3000=A249)*Parti!$C$2:$C$3000*Parti!$D$2:$D$3000*Parti!$E$2:$E$3000)</f>
        <v>400</v>
      </c>
      <c r="L249" s="6" t="n">
        <f aca="false">ROUND((K249*Legenda!$H$2/100+SUMPRODUCT((Parti!$A$2:$A$3000=A249)*Parti!$C$2:$C$3000*Parti!$D$2:$D$3000*(Parti!$F$2:$F$3000+Parti!$J$2:$J$3000)))/60,0)</f>
        <v>7</v>
      </c>
      <c r="M249" s="5"/>
      <c r="N249" s="5" t="s">
        <v>42</v>
      </c>
      <c r="O249" s="5" t="s">
        <v>43</v>
      </c>
    </row>
    <row r="250" customFormat="false" ht="15" hidden="false" customHeight="false" outlineLevel="0" collapsed="false">
      <c r="A250" s="5" t="s">
        <v>831</v>
      </c>
      <c r="B250" s="5" t="s">
        <v>34</v>
      </c>
      <c r="C250" s="5" t="s">
        <v>816</v>
      </c>
      <c r="D250" s="5" t="s">
        <v>36</v>
      </c>
      <c r="E250" s="5" t="s">
        <v>37</v>
      </c>
      <c r="F250" s="5" t="s">
        <v>832</v>
      </c>
      <c r="G250" s="5" t="s">
        <v>833</v>
      </c>
      <c r="H250" s="5" t="s">
        <v>133</v>
      </c>
      <c r="I250" s="5" t="s">
        <v>41</v>
      </c>
      <c r="J250" s="5" t="s">
        <v>83</v>
      </c>
      <c r="K250" s="6" t="n">
        <f aca="false">SUMPRODUCT((Parti!$A$2:$A$3000=A250)*Parti!$C$2:$C$3000*Parti!$D$2:$D$3000*Parti!$E$2:$E$3000)</f>
        <v>200</v>
      </c>
      <c r="L250" s="6" t="n">
        <f aca="false">ROUND((K250*Legenda!$H$2/100+SUMPRODUCT((Parti!$A$2:$A$3000=A250)*Parti!$C$2:$C$3000*Parti!$D$2:$D$3000*(Parti!$F$2:$F$3000+Parti!$J$2:$J$3000)))/60,0)</f>
        <v>4</v>
      </c>
      <c r="M250" s="5"/>
      <c r="N250" s="5" t="s">
        <v>42</v>
      </c>
      <c r="O250" s="5" t="s">
        <v>43</v>
      </c>
    </row>
    <row r="251" customFormat="false" ht="15" hidden="false" customHeight="false" outlineLevel="0" collapsed="false">
      <c r="A251" s="5" t="s">
        <v>834</v>
      </c>
      <c r="B251" s="5" t="s">
        <v>34</v>
      </c>
      <c r="C251" s="5" t="s">
        <v>816</v>
      </c>
      <c r="D251" s="5" t="s">
        <v>36</v>
      </c>
      <c r="E251" s="5" t="s">
        <v>37</v>
      </c>
      <c r="F251" s="5" t="s">
        <v>835</v>
      </c>
      <c r="G251" s="5" t="s">
        <v>836</v>
      </c>
      <c r="H251" s="5" t="s">
        <v>133</v>
      </c>
      <c r="I251" s="5" t="s">
        <v>41</v>
      </c>
      <c r="J251" s="5"/>
      <c r="K251" s="6" t="n">
        <f aca="false">SUMPRODUCT((Parti!$A$2:$A$3000=A251)*Parti!$C$2:$C$3000*Parti!$D$2:$D$3000*Parti!$E$2:$E$3000)</f>
        <v>200</v>
      </c>
      <c r="L251" s="6" t="n">
        <f aca="false">ROUND((K251*Legenda!$H$2/100+SUMPRODUCT((Parti!$A$2:$A$3000=A251)*Parti!$C$2:$C$3000*Parti!$D$2:$D$3000*(Parti!$F$2:$F$3000+Parti!$J$2:$J$3000)))/60,0)</f>
        <v>9</v>
      </c>
      <c r="M251" s="5"/>
      <c r="N251" s="5" t="s">
        <v>42</v>
      </c>
      <c r="O251" s="5" t="s">
        <v>43</v>
      </c>
    </row>
    <row r="252" customFormat="false" ht="15" hidden="false" customHeight="false" outlineLevel="0" collapsed="false">
      <c r="A252" s="5" t="s">
        <v>837</v>
      </c>
      <c r="B252" s="5" t="s">
        <v>34</v>
      </c>
      <c r="C252" s="5" t="s">
        <v>816</v>
      </c>
      <c r="D252" s="5" t="s">
        <v>36</v>
      </c>
      <c r="E252" s="5" t="s">
        <v>37</v>
      </c>
      <c r="F252" s="5" t="s">
        <v>838</v>
      </c>
      <c r="G252" s="5" t="s">
        <v>839</v>
      </c>
      <c r="H252" s="5" t="s">
        <v>133</v>
      </c>
      <c r="I252" s="5" t="s">
        <v>67</v>
      </c>
      <c r="J252" s="5"/>
      <c r="K252" s="6" t="n">
        <f aca="false">SUMPRODUCT((Parti!$A$2:$A$3000=A252)*Parti!$C$2:$C$3000*Parti!$D$2:$D$3000*Parti!$E$2:$E$3000)</f>
        <v>100</v>
      </c>
      <c r="L252" s="6" t="n">
        <f aca="false">ROUND((K252*Legenda!$H$2/100+SUMPRODUCT((Parti!$A$2:$A$3000=A252)*Parti!$C$2:$C$3000*Parti!$D$2:$D$3000*(Parti!$F$2:$F$3000+Parti!$J$2:$J$3000)))/60,0)</f>
        <v>7</v>
      </c>
      <c r="M252" s="5"/>
      <c r="N252" s="5" t="s">
        <v>42</v>
      </c>
      <c r="O252" s="5" t="s">
        <v>43</v>
      </c>
    </row>
    <row r="253" customFormat="false" ht="15" hidden="false" customHeight="false" outlineLevel="0" collapsed="false">
      <c r="A253" s="5" t="s">
        <v>840</v>
      </c>
      <c r="B253" s="5" t="s">
        <v>69</v>
      </c>
      <c r="C253" s="5" t="s">
        <v>841</v>
      </c>
      <c r="D253" s="5" t="s">
        <v>841</v>
      </c>
      <c r="E253" s="5" t="s">
        <v>842</v>
      </c>
      <c r="F253" s="5" t="s">
        <v>843</v>
      </c>
      <c r="G253" s="5" t="s">
        <v>844</v>
      </c>
      <c r="H253" s="5" t="s">
        <v>48</v>
      </c>
      <c r="I253" s="5" t="s">
        <v>41</v>
      </c>
      <c r="J253" s="5"/>
      <c r="K253" s="6" t="n">
        <f aca="false">SUMPRODUCT((Parti!$A$2:$A$3000=A253)*Parti!$C$2:$C$3000*Parti!$D$2:$D$3000*Parti!$E$2:$E$3000)</f>
        <v>400</v>
      </c>
      <c r="L253" s="6" t="n">
        <f aca="false">ROUND((K253*Legenda!$H$2/100+SUMPRODUCT((Parti!$A$2:$A$3000=A253)*Parti!$C$2:$C$3000*Parti!$D$2:$D$3000*(Parti!$F$2:$F$3000+Parti!$J$2:$J$3000)))/60,0)</f>
        <v>7</v>
      </c>
      <c r="M253" s="5"/>
      <c r="N253" s="5" t="s">
        <v>42</v>
      </c>
      <c r="O253" s="5" t="s">
        <v>43</v>
      </c>
    </row>
    <row r="254" customFormat="false" ht="15" hidden="false" customHeight="false" outlineLevel="0" collapsed="false">
      <c r="A254" s="5" t="s">
        <v>845</v>
      </c>
      <c r="B254" s="5" t="s">
        <v>34</v>
      </c>
      <c r="C254" s="5" t="s">
        <v>841</v>
      </c>
      <c r="D254" s="5" t="s">
        <v>841</v>
      </c>
      <c r="E254" s="5" t="s">
        <v>842</v>
      </c>
      <c r="F254" s="5" t="s">
        <v>846</v>
      </c>
      <c r="G254" s="5" t="s">
        <v>847</v>
      </c>
      <c r="H254" s="5" t="s">
        <v>48</v>
      </c>
      <c r="I254" s="5" t="s">
        <v>41</v>
      </c>
      <c r="J254" s="5"/>
      <c r="K254" s="6" t="n">
        <f aca="false">SUMPRODUCT((Parti!$A$2:$A$3000=A254)*Parti!$C$2:$C$3000*Parti!$D$2:$D$3000*Parti!$E$2:$E$3000)</f>
        <v>600</v>
      </c>
      <c r="L254" s="6" t="n">
        <f aca="false">ROUND((K254*Legenda!$H$2/100+SUMPRODUCT((Parti!$A$2:$A$3000=A254)*Parti!$C$2:$C$3000*Parti!$D$2:$D$3000*(Parti!$F$2:$F$3000+Parti!$J$2:$J$3000)))/60,0)</f>
        <v>21</v>
      </c>
      <c r="M254" s="5" t="s">
        <v>848</v>
      </c>
      <c r="N254" s="5" t="s">
        <v>42</v>
      </c>
      <c r="O254" s="5" t="s">
        <v>43</v>
      </c>
    </row>
    <row r="255" customFormat="false" ht="15" hidden="false" customHeight="false" outlineLevel="0" collapsed="false">
      <c r="A255" s="5" t="s">
        <v>849</v>
      </c>
      <c r="B255" s="5" t="s">
        <v>69</v>
      </c>
      <c r="C255" s="5" t="s">
        <v>841</v>
      </c>
      <c r="D255" s="5" t="s">
        <v>841</v>
      </c>
      <c r="E255" s="5" t="s">
        <v>842</v>
      </c>
      <c r="F255" s="5" t="s">
        <v>850</v>
      </c>
      <c r="G255" s="5" t="s">
        <v>851</v>
      </c>
      <c r="H255" s="5" t="s">
        <v>48</v>
      </c>
      <c r="I255" s="5" t="s">
        <v>830</v>
      </c>
      <c r="J255" s="5"/>
      <c r="K255" s="6" t="n">
        <f aca="false">SUMPRODUCT((Parti!$A$2:$A$3000=A255)*Parti!$C$2:$C$3000*Parti!$D$2:$D$3000*Parti!$E$2:$E$3000)</f>
        <v>0</v>
      </c>
      <c r="L255" s="6" t="n">
        <f aca="false">ROUND((K255*Legenda!$H$2/100+SUMPRODUCT((Parti!$A$2:$A$3000=A255)*Parti!$C$2:$C$3000*Parti!$D$2:$D$3000*(Parti!$F$2:$F$3000+Parti!$J$2:$J$3000)))/60,0)</f>
        <v>30</v>
      </c>
      <c r="M255" s="5"/>
      <c r="N255" s="5" t="s">
        <v>42</v>
      </c>
      <c r="O255" s="5" t="s">
        <v>43</v>
      </c>
    </row>
    <row r="256" customFormat="false" ht="15" hidden="false" customHeight="false" outlineLevel="0" collapsed="false">
      <c r="A256" s="5" t="s">
        <v>852</v>
      </c>
      <c r="B256" s="5" t="s">
        <v>69</v>
      </c>
      <c r="C256" s="5" t="s">
        <v>841</v>
      </c>
      <c r="D256" s="5" t="s">
        <v>841</v>
      </c>
      <c r="E256" s="5" t="s">
        <v>842</v>
      </c>
      <c r="F256" s="5" t="s">
        <v>853</v>
      </c>
      <c r="G256" s="5" t="s">
        <v>854</v>
      </c>
      <c r="H256" s="5" t="s">
        <v>48</v>
      </c>
      <c r="I256" s="5" t="s">
        <v>111</v>
      </c>
      <c r="J256" s="5"/>
      <c r="K256" s="6" t="n">
        <f aca="false">SUMPRODUCT((Parti!$A$2:$A$3000=A256)*Parti!$C$2:$C$3000*Parti!$D$2:$D$3000*Parti!$E$2:$E$3000)</f>
        <v>100</v>
      </c>
      <c r="L256" s="6" t="n">
        <f aca="false">ROUND((K256*Legenda!$H$2/100+SUMPRODUCT((Parti!$A$2:$A$3000=A256)*Parti!$C$2:$C$3000*Parti!$D$2:$D$3000*(Parti!$F$2:$F$3000+Parti!$J$2:$J$3000)))/60,0)</f>
        <v>2</v>
      </c>
      <c r="M256" s="5"/>
      <c r="N256" s="5" t="s">
        <v>42</v>
      </c>
      <c r="O256" s="5" t="s">
        <v>43</v>
      </c>
    </row>
    <row r="257" customFormat="false" ht="15" hidden="false" customHeight="false" outlineLevel="0" collapsed="false">
      <c r="A257" s="5" t="s">
        <v>855</v>
      </c>
      <c r="B257" s="5" t="s">
        <v>69</v>
      </c>
      <c r="C257" s="5" t="s">
        <v>841</v>
      </c>
      <c r="D257" s="5" t="s">
        <v>841</v>
      </c>
      <c r="E257" s="5" t="s">
        <v>842</v>
      </c>
      <c r="F257" s="5" t="s">
        <v>856</v>
      </c>
      <c r="G257" s="5" t="s">
        <v>857</v>
      </c>
      <c r="H257" s="5" t="s">
        <v>115</v>
      </c>
      <c r="I257" s="5" t="s">
        <v>111</v>
      </c>
      <c r="J257" s="5"/>
      <c r="K257" s="6" t="n">
        <f aca="false">SUMPRODUCT((Parti!$A$2:$A$3000=A257)*Parti!$C$2:$C$3000*Parti!$D$2:$D$3000*Parti!$E$2:$E$3000)</f>
        <v>100</v>
      </c>
      <c r="L257" s="6" t="n">
        <f aca="false">ROUND((K257*Legenda!$H$2/100+SUMPRODUCT((Parti!$A$2:$A$3000=A257)*Parti!$C$2:$C$3000*Parti!$D$2:$D$3000*(Parti!$F$2:$F$3000+Parti!$J$2:$J$3000)))/60,0)</f>
        <v>2</v>
      </c>
      <c r="M257" s="5"/>
      <c r="N257" s="5" t="s">
        <v>42</v>
      </c>
      <c r="O257" s="5" t="s">
        <v>43</v>
      </c>
    </row>
    <row r="258" customFormat="false" ht="15" hidden="false" customHeight="false" outlineLevel="0" collapsed="false">
      <c r="A258" s="5" t="s">
        <v>858</v>
      </c>
      <c r="B258" s="5" t="s">
        <v>69</v>
      </c>
      <c r="C258" s="5" t="s">
        <v>841</v>
      </c>
      <c r="D258" s="5" t="s">
        <v>841</v>
      </c>
      <c r="E258" s="5" t="s">
        <v>842</v>
      </c>
      <c r="F258" s="5" t="s">
        <v>859</v>
      </c>
      <c r="G258" s="5" t="s">
        <v>860</v>
      </c>
      <c r="H258" s="5" t="s">
        <v>119</v>
      </c>
      <c r="I258" s="5" t="s">
        <v>111</v>
      </c>
      <c r="J258" s="5"/>
      <c r="K258" s="6" t="n">
        <f aca="false">SUMPRODUCT((Parti!$A$2:$A$3000=A258)*Parti!$C$2:$C$3000*Parti!$D$2:$D$3000*Parti!$E$2:$E$3000)</f>
        <v>100</v>
      </c>
      <c r="L258" s="6" t="n">
        <f aca="false">ROUND((K258*Legenda!$H$2/100+SUMPRODUCT((Parti!$A$2:$A$3000=A258)*Parti!$C$2:$C$3000*Parti!$D$2:$D$3000*(Parti!$F$2:$F$3000+Parti!$J$2:$J$3000)))/60,0)</f>
        <v>2</v>
      </c>
      <c r="M258" s="5"/>
      <c r="N258" s="5" t="s">
        <v>42</v>
      </c>
      <c r="O258" s="5" t="s">
        <v>43</v>
      </c>
    </row>
    <row r="259" customFormat="false" ht="15" hidden="false" customHeight="false" outlineLevel="0" collapsed="false">
      <c r="A259" s="5" t="s">
        <v>861</v>
      </c>
      <c r="B259" s="5" t="s">
        <v>69</v>
      </c>
      <c r="C259" s="5" t="s">
        <v>841</v>
      </c>
      <c r="D259" s="5" t="s">
        <v>841</v>
      </c>
      <c r="E259" s="5" t="s">
        <v>842</v>
      </c>
      <c r="F259" s="5" t="s">
        <v>862</v>
      </c>
      <c r="G259" s="5" t="s">
        <v>863</v>
      </c>
      <c r="H259" s="5" t="s">
        <v>123</v>
      </c>
      <c r="I259" s="5" t="s">
        <v>111</v>
      </c>
      <c r="J259" s="5"/>
      <c r="K259" s="6" t="n">
        <f aca="false">SUMPRODUCT((Parti!$A$2:$A$3000=A259)*Parti!$C$2:$C$3000*Parti!$D$2:$D$3000*Parti!$E$2:$E$3000)</f>
        <v>100</v>
      </c>
      <c r="L259" s="6" t="n">
        <f aca="false">ROUND((K259*Legenda!$H$2/100+SUMPRODUCT((Parti!$A$2:$A$3000=A259)*Parti!$C$2:$C$3000*Parti!$D$2:$D$3000*(Parti!$F$2:$F$3000+Parti!$J$2:$J$3000)))/60,0)</f>
        <v>2</v>
      </c>
      <c r="M259" s="5"/>
      <c r="N259" s="5" t="s">
        <v>42</v>
      </c>
      <c r="O259" s="5" t="s">
        <v>43</v>
      </c>
    </row>
    <row r="260" customFormat="false" ht="15" hidden="false" customHeight="false" outlineLevel="0" collapsed="false">
      <c r="A260" s="5" t="s">
        <v>864</v>
      </c>
      <c r="B260" s="5" t="s">
        <v>34</v>
      </c>
      <c r="C260" s="5" t="s">
        <v>841</v>
      </c>
      <c r="D260" s="5" t="s">
        <v>841</v>
      </c>
      <c r="E260" s="5" t="s">
        <v>842</v>
      </c>
      <c r="F260" s="5" t="s">
        <v>865</v>
      </c>
      <c r="G260" s="5" t="s">
        <v>866</v>
      </c>
      <c r="H260" s="5" t="s">
        <v>133</v>
      </c>
      <c r="I260" s="5" t="s">
        <v>111</v>
      </c>
      <c r="J260" s="5"/>
      <c r="K260" s="6" t="n">
        <f aca="false">SUMPRODUCT((Parti!$A$2:$A$3000=A260)*Parti!$C$2:$C$3000*Parti!$D$2:$D$3000*Parti!$E$2:$E$3000)</f>
        <v>100</v>
      </c>
      <c r="L260" s="6" t="n">
        <f aca="false">ROUND((K260*Legenda!$H$2/100+SUMPRODUCT((Parti!$A$2:$A$3000=A260)*Parti!$C$2:$C$3000*Parti!$D$2:$D$3000*(Parti!$F$2:$F$3000+Parti!$J$2:$J$3000)))/60,0)</f>
        <v>12</v>
      </c>
      <c r="M260" s="5"/>
      <c r="N260" s="5" t="s">
        <v>42</v>
      </c>
      <c r="O260" s="5" t="s">
        <v>43</v>
      </c>
    </row>
    <row r="261" customFormat="false" ht="15" hidden="false" customHeight="false" outlineLevel="0" collapsed="false">
      <c r="A261" s="5" t="s">
        <v>867</v>
      </c>
      <c r="B261" s="5" t="s">
        <v>69</v>
      </c>
      <c r="C261" s="5" t="s">
        <v>841</v>
      </c>
      <c r="D261" s="5" t="s">
        <v>841</v>
      </c>
      <c r="E261" s="5" t="s">
        <v>842</v>
      </c>
      <c r="F261" s="5" t="s">
        <v>868</v>
      </c>
      <c r="G261" s="5" t="s">
        <v>869</v>
      </c>
      <c r="H261" s="5" t="s">
        <v>48</v>
      </c>
      <c r="I261" s="5" t="s">
        <v>82</v>
      </c>
      <c r="J261" s="5"/>
      <c r="K261" s="6" t="n">
        <f aca="false">SUMPRODUCT((Parti!$A$2:$A$3000=A261)*Parti!$C$2:$C$3000*Parti!$D$2:$D$3000*Parti!$E$2:$E$3000)</f>
        <v>1400</v>
      </c>
      <c r="L261" s="6" t="n">
        <f aca="false">ROUND((K261*Legenda!$H$2/100+SUMPRODUCT((Parti!$A$2:$A$3000=A261)*Parti!$C$2:$C$3000*Parti!$D$2:$D$3000*(Parti!$F$2:$F$3000+Parti!$J$2:$J$3000)))/60,0)</f>
        <v>29</v>
      </c>
      <c r="M261" s="5"/>
      <c r="N261" s="5" t="s">
        <v>42</v>
      </c>
      <c r="O261" s="5" t="s">
        <v>43</v>
      </c>
    </row>
    <row r="262" customFormat="false" ht="15" hidden="false" customHeight="false" outlineLevel="0" collapsed="false">
      <c r="A262" s="5" t="s">
        <v>870</v>
      </c>
      <c r="B262" s="5" t="s">
        <v>69</v>
      </c>
      <c r="C262" s="5" t="s">
        <v>841</v>
      </c>
      <c r="D262" s="5" t="s">
        <v>841</v>
      </c>
      <c r="E262" s="5" t="s">
        <v>842</v>
      </c>
      <c r="F262" s="5" t="s">
        <v>871</v>
      </c>
      <c r="G262" s="5" t="s">
        <v>872</v>
      </c>
      <c r="H262" s="5" t="s">
        <v>133</v>
      </c>
      <c r="I262" s="5" t="s">
        <v>53</v>
      </c>
      <c r="J262" s="5"/>
      <c r="K262" s="6" t="n">
        <f aca="false">SUMPRODUCT((Parti!$A$2:$A$3000=A262)*Parti!$C$2:$C$3000*Parti!$D$2:$D$3000*Parti!$E$2:$E$3000)</f>
        <v>300</v>
      </c>
      <c r="L262" s="6" t="n">
        <f aca="false">ROUND((K262*Legenda!$H$2/100+SUMPRODUCT((Parti!$A$2:$A$3000=A262)*Parti!$C$2:$C$3000*Parti!$D$2:$D$3000*(Parti!$F$2:$F$3000+Parti!$J$2:$J$3000)))/60,0)</f>
        <v>12</v>
      </c>
      <c r="M262" s="5"/>
      <c r="N262" s="5" t="s">
        <v>42</v>
      </c>
      <c r="O262" s="5" t="s">
        <v>43</v>
      </c>
    </row>
    <row r="263" customFormat="false" ht="15" hidden="false" customHeight="false" outlineLevel="0" collapsed="false">
      <c r="A263" s="5" t="s">
        <v>873</v>
      </c>
      <c r="B263" s="5" t="s">
        <v>69</v>
      </c>
      <c r="C263" s="5" t="s">
        <v>841</v>
      </c>
      <c r="D263" s="5" t="s">
        <v>841</v>
      </c>
      <c r="E263" s="5" t="s">
        <v>842</v>
      </c>
      <c r="F263" s="5" t="s">
        <v>874</v>
      </c>
      <c r="G263" s="5" t="s">
        <v>875</v>
      </c>
      <c r="H263" s="5" t="s">
        <v>133</v>
      </c>
      <c r="I263" s="5" t="s">
        <v>53</v>
      </c>
      <c r="J263" s="5"/>
      <c r="K263" s="6" t="n">
        <f aca="false">SUMPRODUCT((Parti!$A$2:$A$3000=A263)*Parti!$C$2:$C$3000*Parti!$D$2:$D$3000*Parti!$E$2:$E$3000)</f>
        <v>200</v>
      </c>
      <c r="L263" s="6" t="n">
        <f aca="false">ROUND((K263*Legenda!$H$2/100+SUMPRODUCT((Parti!$A$2:$A$3000=A263)*Parti!$C$2:$C$3000*Parti!$D$2:$D$3000*(Parti!$F$2:$F$3000+Parti!$J$2:$J$3000)))/60,0)</f>
        <v>4</v>
      </c>
      <c r="M263" s="5"/>
      <c r="N263" s="5" t="s">
        <v>42</v>
      </c>
      <c r="O263" s="5" t="s">
        <v>43</v>
      </c>
    </row>
    <row r="264" customFormat="false" ht="15" hidden="false" customHeight="false" outlineLevel="0" collapsed="false">
      <c r="A264" s="5" t="s">
        <v>876</v>
      </c>
      <c r="B264" s="5" t="s">
        <v>69</v>
      </c>
      <c r="C264" s="5" t="s">
        <v>841</v>
      </c>
      <c r="D264" s="5" t="s">
        <v>841</v>
      </c>
      <c r="E264" s="5" t="s">
        <v>842</v>
      </c>
      <c r="F264" s="5" t="s">
        <v>877</v>
      </c>
      <c r="G264" s="5" t="s">
        <v>878</v>
      </c>
      <c r="H264" s="5" t="s">
        <v>48</v>
      </c>
      <c r="I264" s="5" t="s">
        <v>830</v>
      </c>
      <c r="J264" s="5"/>
      <c r="K264" s="6" t="n">
        <f aca="false">SUMPRODUCT((Parti!$A$2:$A$3000=A264)*Parti!$C$2:$C$3000*Parti!$D$2:$D$3000*Parti!$E$2:$E$3000)</f>
        <v>2000</v>
      </c>
      <c r="L264" s="6" t="n">
        <f aca="false">ROUND((K264*Legenda!$H$2/100+SUMPRODUCT((Parti!$A$2:$A$3000=A264)*Parti!$C$2:$C$3000*Parti!$D$2:$D$3000*(Parti!$F$2:$F$3000+Parti!$J$2:$J$3000)))/60,0)</f>
        <v>37</v>
      </c>
      <c r="M264" s="5"/>
      <c r="N264" s="5" t="s">
        <v>42</v>
      </c>
      <c r="O264" s="5" t="s">
        <v>43</v>
      </c>
    </row>
    <row r="265" customFormat="false" ht="15" hidden="false" customHeight="false" outlineLevel="0" collapsed="false">
      <c r="A265" s="5" t="s">
        <v>879</v>
      </c>
      <c r="B265" s="5" t="s">
        <v>880</v>
      </c>
      <c r="C265" s="5" t="s">
        <v>35</v>
      </c>
      <c r="D265" s="5" t="s">
        <v>45</v>
      </c>
      <c r="E265" s="5" t="s">
        <v>37</v>
      </c>
      <c r="F265" s="5" t="s">
        <v>881</v>
      </c>
      <c r="G265" s="5" t="s">
        <v>882</v>
      </c>
      <c r="H265" s="5" t="s">
        <v>40</v>
      </c>
      <c r="I265" s="5" t="s">
        <v>883</v>
      </c>
      <c r="J265" s="5"/>
      <c r="K265" s="6" t="n">
        <f aca="false">SUMPRODUCT((Parti!$A$2:$A$3000=A265)*Parti!$C$2:$C$3000*Parti!$D$2:$D$3000*Parti!$E$2:$E$3000)</f>
        <v>600</v>
      </c>
      <c r="L265" s="6" t="n">
        <f aca="false">ROUND((K265*Legenda!$H$2/100+SUMPRODUCT((Parti!$A$2:$A$3000=A265)*Parti!$C$2:$C$3000*Parti!$D$2:$D$3000*(Parti!$F$2:$F$3000+Parti!$J$2:$J$3000)))/60,0)</f>
        <v>11</v>
      </c>
      <c r="M265" s="5"/>
      <c r="N265" s="5" t="s">
        <v>42</v>
      </c>
      <c r="O265" s="5" t="s">
        <v>43</v>
      </c>
    </row>
    <row r="266" customFormat="false" ht="15" hidden="false" customHeight="false" outlineLevel="0" collapsed="false">
      <c r="A266" s="5" t="s">
        <v>884</v>
      </c>
      <c r="B266" s="5" t="s">
        <v>880</v>
      </c>
      <c r="C266" s="5" t="s">
        <v>35</v>
      </c>
      <c r="D266" s="5" t="s">
        <v>45</v>
      </c>
      <c r="E266" s="5" t="s">
        <v>37</v>
      </c>
      <c r="F266" s="5" t="s">
        <v>885</v>
      </c>
      <c r="G266" s="5" t="s">
        <v>886</v>
      </c>
      <c r="H266" s="5" t="s">
        <v>40</v>
      </c>
      <c r="I266" s="5" t="s">
        <v>887</v>
      </c>
      <c r="J266" s="5"/>
      <c r="K266" s="6" t="n">
        <f aca="false">SUMPRODUCT((Parti!$A$2:$A$3000=A266)*Parti!$C$2:$C$3000*Parti!$D$2:$D$3000*Parti!$E$2:$E$3000)</f>
        <v>500</v>
      </c>
      <c r="L266" s="6" t="n">
        <f aca="false">ROUND((K266*Legenda!$H$2/100+SUMPRODUCT((Parti!$A$2:$A$3000=A266)*Parti!$C$2:$C$3000*Parti!$D$2:$D$3000*(Parti!$F$2:$F$3000+Parti!$J$2:$J$3000)))/60,0)</f>
        <v>11</v>
      </c>
      <c r="M266" s="5"/>
      <c r="N266" s="5" t="s">
        <v>42</v>
      </c>
      <c r="O266" s="5" t="s">
        <v>43</v>
      </c>
    </row>
    <row r="267" customFormat="false" ht="15" hidden="false" customHeight="false" outlineLevel="0" collapsed="false">
      <c r="A267" s="5" t="s">
        <v>888</v>
      </c>
      <c r="B267" s="5" t="s">
        <v>880</v>
      </c>
      <c r="C267" s="5" t="s">
        <v>35</v>
      </c>
      <c r="D267" s="5" t="s">
        <v>88</v>
      </c>
      <c r="E267" s="5" t="s">
        <v>37</v>
      </c>
      <c r="F267" s="5" t="s">
        <v>889</v>
      </c>
      <c r="G267" s="5" t="s">
        <v>890</v>
      </c>
      <c r="H267" s="5"/>
      <c r="I267" s="5" t="s">
        <v>887</v>
      </c>
      <c r="J267" s="5" t="s">
        <v>891</v>
      </c>
      <c r="K267" s="6" t="n">
        <f aca="false">SUMPRODUCT((Parti!$A$2:$A$3000=A267)*Parti!$C$2:$C$3000*Parti!$D$2:$D$3000*Parti!$E$2:$E$3000)</f>
        <v>0</v>
      </c>
      <c r="L267" s="6" t="n">
        <f aca="false">ROUND((K267*Legenda!$H$2/100+SUMPRODUCT((Parti!$A$2:$A$3000=A267)*Parti!$C$2:$C$3000*Parti!$D$2:$D$3000*(Parti!$F$2:$F$3000+Parti!$J$2:$J$3000)))/60,0)</f>
        <v>10</v>
      </c>
      <c r="M267" s="5"/>
      <c r="N267" s="5" t="s">
        <v>42</v>
      </c>
      <c r="O267" s="5" t="s">
        <v>43</v>
      </c>
    </row>
    <row r="268" customFormat="false" ht="15" hidden="false" customHeight="false" outlineLevel="0" collapsed="false">
      <c r="A268" s="5" t="s">
        <v>892</v>
      </c>
      <c r="B268" s="5" t="s">
        <v>880</v>
      </c>
      <c r="C268" s="5" t="s">
        <v>35</v>
      </c>
      <c r="D268" s="5" t="s">
        <v>45</v>
      </c>
      <c r="E268" s="5" t="s">
        <v>893</v>
      </c>
      <c r="F268" s="5" t="s">
        <v>894</v>
      </c>
      <c r="G268" s="5" t="s">
        <v>895</v>
      </c>
      <c r="H268" s="5" t="s">
        <v>40</v>
      </c>
      <c r="I268" s="5" t="s">
        <v>883</v>
      </c>
      <c r="J268" s="5"/>
      <c r="K268" s="6" t="n">
        <f aca="false">SUMPRODUCT((Parti!$A$2:$A$3000=A268)*Parti!$C$2:$C$3000*Parti!$D$2:$D$3000*Parti!$E$2:$E$3000)</f>
        <v>500</v>
      </c>
      <c r="L268" s="6" t="n">
        <f aca="false">ROUND((K268*Legenda!$H$2/100+SUMPRODUCT((Parti!$A$2:$A$3000=A268)*Parti!$C$2:$C$3000*Parti!$D$2:$D$3000*(Parti!$F$2:$F$3000+Parti!$J$2:$J$3000)))/60,0)</f>
        <v>11</v>
      </c>
      <c r="M268" s="5"/>
      <c r="N268" s="5" t="s">
        <v>42</v>
      </c>
      <c r="O268" s="5" t="s">
        <v>43</v>
      </c>
    </row>
    <row r="269" customFormat="false" ht="15" hidden="false" customHeight="false" outlineLevel="0" collapsed="false">
      <c r="A269" s="5" t="s">
        <v>896</v>
      </c>
      <c r="B269" s="5" t="s">
        <v>880</v>
      </c>
      <c r="C269" s="5" t="s">
        <v>35</v>
      </c>
      <c r="D269" s="5" t="s">
        <v>45</v>
      </c>
      <c r="E269" s="5" t="s">
        <v>37</v>
      </c>
      <c r="F269" s="5" t="s">
        <v>897</v>
      </c>
      <c r="G269" s="5" t="s">
        <v>898</v>
      </c>
      <c r="H269" s="5" t="s">
        <v>48</v>
      </c>
      <c r="I269" s="5" t="s">
        <v>899</v>
      </c>
      <c r="J269" s="5" t="s">
        <v>891</v>
      </c>
      <c r="K269" s="6" t="n">
        <f aca="false">SUMPRODUCT((Parti!$A$2:$A$3000=A269)*Parti!$C$2:$C$3000*Parti!$D$2:$D$3000*Parti!$E$2:$E$3000)</f>
        <v>200</v>
      </c>
      <c r="L269" s="6" t="n">
        <f aca="false">ROUND((K269*Legenda!$H$2/100+SUMPRODUCT((Parti!$A$2:$A$3000=A269)*Parti!$C$2:$C$3000*Parti!$D$2:$D$3000*(Parti!$F$2:$F$3000+Parti!$J$2:$J$3000)))/60,0)</f>
        <v>9</v>
      </c>
      <c r="M269" s="5"/>
      <c r="N269" s="5" t="s">
        <v>42</v>
      </c>
      <c r="O269" s="5" t="s">
        <v>43</v>
      </c>
    </row>
    <row r="270" customFormat="false" ht="15" hidden="false" customHeight="false" outlineLevel="0" collapsed="false">
      <c r="A270" s="5" t="s">
        <v>900</v>
      </c>
      <c r="B270" s="5" t="s">
        <v>880</v>
      </c>
      <c r="C270" s="5" t="s">
        <v>35</v>
      </c>
      <c r="D270" s="5" t="s">
        <v>45</v>
      </c>
      <c r="E270" s="5" t="s">
        <v>37</v>
      </c>
      <c r="F270" s="5" t="s">
        <v>901</v>
      </c>
      <c r="G270" s="5" t="s">
        <v>902</v>
      </c>
      <c r="H270" s="5" t="s">
        <v>52</v>
      </c>
      <c r="I270" s="5" t="s">
        <v>887</v>
      </c>
      <c r="J270" s="5"/>
      <c r="K270" s="6" t="n">
        <f aca="false">SUMPRODUCT((Parti!$A$2:$A$3000=A270)*Parti!$C$2:$C$3000*Parti!$D$2:$D$3000*Parti!$E$2:$E$3000)</f>
        <v>300</v>
      </c>
      <c r="L270" s="6" t="n">
        <f aca="false">ROUND((K270*Legenda!$H$2/100+SUMPRODUCT((Parti!$A$2:$A$3000=A270)*Parti!$C$2:$C$3000*Parti!$D$2:$D$3000*(Parti!$F$2:$F$3000+Parti!$J$2:$J$3000)))/60,0)</f>
        <v>7</v>
      </c>
      <c r="M270" s="5"/>
      <c r="N270" s="5" t="s">
        <v>42</v>
      </c>
      <c r="O270" s="5" t="s">
        <v>43</v>
      </c>
    </row>
    <row r="271" customFormat="false" ht="15" hidden="false" customHeight="false" outlineLevel="0" collapsed="false">
      <c r="A271" s="5" t="s">
        <v>903</v>
      </c>
      <c r="B271" s="5" t="s">
        <v>880</v>
      </c>
      <c r="C271" s="5" t="s">
        <v>35</v>
      </c>
      <c r="D271" s="5" t="s">
        <v>98</v>
      </c>
      <c r="E271" s="5" t="s">
        <v>904</v>
      </c>
      <c r="F271" s="5" t="s">
        <v>905</v>
      </c>
      <c r="G271" s="5" t="s">
        <v>906</v>
      </c>
      <c r="H271" s="5" t="s">
        <v>40</v>
      </c>
      <c r="I271" s="5" t="s">
        <v>907</v>
      </c>
      <c r="J271" s="5" t="s">
        <v>908</v>
      </c>
      <c r="K271" s="6" t="n">
        <f aca="false">SUMPRODUCT((Parti!$A$2:$A$3000=A271)*Parti!$C$2:$C$3000*Parti!$D$2:$D$3000*Parti!$E$2:$E$3000)</f>
        <v>360</v>
      </c>
      <c r="L271" s="6" t="n">
        <f aca="false">ROUND((K271*Legenda!$H$2/100+SUMPRODUCT((Parti!$A$2:$A$3000=A271)*Parti!$C$2:$C$3000*Parti!$D$2:$D$3000*(Parti!$F$2:$F$3000+Parti!$J$2:$J$3000)))/60,0)</f>
        <v>19</v>
      </c>
      <c r="M271" s="5"/>
      <c r="N271" s="5" t="s">
        <v>42</v>
      </c>
      <c r="O271" s="5" t="s">
        <v>43</v>
      </c>
    </row>
    <row r="272" customFormat="false" ht="15" hidden="false" customHeight="false" outlineLevel="0" collapsed="false">
      <c r="A272" s="5" t="s">
        <v>909</v>
      </c>
      <c r="B272" s="5" t="s">
        <v>880</v>
      </c>
      <c r="C272" s="5" t="s">
        <v>35</v>
      </c>
      <c r="D272" s="5" t="s">
        <v>45</v>
      </c>
      <c r="E272" s="5" t="s">
        <v>37</v>
      </c>
      <c r="F272" s="5" t="s">
        <v>910</v>
      </c>
      <c r="G272" s="5" t="s">
        <v>911</v>
      </c>
      <c r="H272" s="5" t="s">
        <v>133</v>
      </c>
      <c r="I272" s="5" t="s">
        <v>75</v>
      </c>
      <c r="J272" s="5" t="s">
        <v>891</v>
      </c>
      <c r="K272" s="6" t="n">
        <f aca="false">SUMPRODUCT((Parti!$A$2:$A$3000=A272)*Parti!$C$2:$C$3000*Parti!$D$2:$D$3000*Parti!$E$2:$E$3000)</f>
        <v>300</v>
      </c>
      <c r="L272" s="6" t="n">
        <f aca="false">ROUND((K272*Legenda!$H$2/100+SUMPRODUCT((Parti!$A$2:$A$3000=A272)*Parti!$C$2:$C$3000*Parti!$D$2:$D$3000*(Parti!$F$2:$F$3000+Parti!$J$2:$J$3000)))/60,0)</f>
        <v>11</v>
      </c>
      <c r="M272" s="5"/>
      <c r="N272" s="5" t="s">
        <v>42</v>
      </c>
      <c r="O272" s="5" t="s">
        <v>43</v>
      </c>
    </row>
    <row r="273" customFormat="false" ht="15" hidden="false" customHeight="false" outlineLevel="0" collapsed="false">
      <c r="A273" s="5" t="s">
        <v>912</v>
      </c>
      <c r="B273" s="5" t="s">
        <v>880</v>
      </c>
      <c r="C273" s="5" t="s">
        <v>913</v>
      </c>
      <c r="D273" s="5" t="s">
        <v>98</v>
      </c>
      <c r="E273" s="5" t="s">
        <v>139</v>
      </c>
      <c r="F273" s="5" t="s">
        <v>914</v>
      </c>
      <c r="G273" s="5" t="s">
        <v>915</v>
      </c>
      <c r="H273" s="5" t="s">
        <v>916</v>
      </c>
      <c r="I273" s="5" t="s">
        <v>887</v>
      </c>
      <c r="J273" s="5"/>
      <c r="K273" s="6" t="n">
        <f aca="false">SUMPRODUCT((Parti!$A$2:$A$3000=A273)*Parti!$C$2:$C$3000*Parti!$D$2:$D$3000*Parti!$E$2:$E$3000)</f>
        <v>250</v>
      </c>
      <c r="L273" s="6" t="n">
        <f aca="false">ROUND((K273*Legenda!$H$2/100+SUMPRODUCT((Parti!$A$2:$A$3000=A273)*Parti!$C$2:$C$3000*Parti!$D$2:$D$3000*(Parti!$F$2:$F$3000+Parti!$J$2:$J$3000)))/60,0)</f>
        <v>7</v>
      </c>
      <c r="M273" s="5"/>
      <c r="N273" s="5" t="s">
        <v>42</v>
      </c>
      <c r="O273" s="5" t="s">
        <v>43</v>
      </c>
    </row>
    <row r="274" customFormat="false" ht="15" hidden="false" customHeight="false" outlineLevel="0" collapsed="false">
      <c r="A274" s="5" t="s">
        <v>917</v>
      </c>
      <c r="B274" s="5" t="s">
        <v>880</v>
      </c>
      <c r="C274" s="5" t="s">
        <v>913</v>
      </c>
      <c r="D274" s="5" t="s">
        <v>98</v>
      </c>
      <c r="E274" s="5" t="s">
        <v>135</v>
      </c>
      <c r="F274" s="5" t="s">
        <v>918</v>
      </c>
      <c r="G274" s="5" t="s">
        <v>919</v>
      </c>
      <c r="H274" s="5" t="s">
        <v>916</v>
      </c>
      <c r="I274" s="5" t="s">
        <v>887</v>
      </c>
      <c r="J274" s="5"/>
      <c r="K274" s="6" t="n">
        <f aca="false">SUMPRODUCT((Parti!$A$2:$A$3000=A274)*Parti!$C$2:$C$3000*Parti!$D$2:$D$3000*Parti!$E$2:$E$3000)</f>
        <v>120</v>
      </c>
      <c r="L274" s="6" t="n">
        <f aca="false">ROUND((K274*Legenda!$H$2/100+SUMPRODUCT((Parti!$A$2:$A$3000=A274)*Parti!$C$2:$C$3000*Parti!$D$2:$D$3000*(Parti!$F$2:$F$3000+Parti!$J$2:$J$3000)))/60,0)</f>
        <v>6</v>
      </c>
      <c r="M274" s="5"/>
      <c r="N274" s="5" t="s">
        <v>42</v>
      </c>
      <c r="O274" s="5" t="s">
        <v>43</v>
      </c>
    </row>
    <row r="275" customFormat="false" ht="15" hidden="false" customHeight="false" outlineLevel="0" collapsed="false">
      <c r="A275" s="5" t="s">
        <v>920</v>
      </c>
      <c r="B275" s="5" t="s">
        <v>880</v>
      </c>
      <c r="C275" s="5" t="s">
        <v>913</v>
      </c>
      <c r="D275" s="5" t="s">
        <v>98</v>
      </c>
      <c r="E275" s="5" t="s">
        <v>135</v>
      </c>
      <c r="F275" s="5" t="s">
        <v>921</v>
      </c>
      <c r="G275" s="5" t="s">
        <v>922</v>
      </c>
      <c r="H275" s="5" t="s">
        <v>916</v>
      </c>
      <c r="I275" s="5" t="s">
        <v>883</v>
      </c>
      <c r="J275" s="5"/>
      <c r="K275" s="6" t="n">
        <f aca="false">SUMPRODUCT((Parti!$A$2:$A$3000=A275)*Parti!$C$2:$C$3000*Parti!$D$2:$D$3000*Parti!$E$2:$E$3000)</f>
        <v>120</v>
      </c>
      <c r="L275" s="6" t="n">
        <f aca="false">ROUND((K275*Legenda!$H$2/100+SUMPRODUCT((Parti!$A$2:$A$3000=A275)*Parti!$C$2:$C$3000*Parti!$D$2:$D$3000*(Parti!$F$2:$F$3000+Parti!$J$2:$J$3000)))/60,0)</f>
        <v>5</v>
      </c>
      <c r="M275" s="5"/>
      <c r="N275" s="5" t="s">
        <v>42</v>
      </c>
      <c r="O275" s="5" t="s">
        <v>43</v>
      </c>
    </row>
    <row r="276" customFormat="false" ht="15" hidden="false" customHeight="false" outlineLevel="0" collapsed="false">
      <c r="A276" s="5" t="s">
        <v>923</v>
      </c>
      <c r="B276" s="5" t="s">
        <v>880</v>
      </c>
      <c r="C276" s="5" t="s">
        <v>913</v>
      </c>
      <c r="D276" s="5" t="s">
        <v>88</v>
      </c>
      <c r="E276" s="5" t="s">
        <v>343</v>
      </c>
      <c r="F276" s="5" t="s">
        <v>924</v>
      </c>
      <c r="G276" s="5" t="s">
        <v>925</v>
      </c>
      <c r="H276" s="5" t="s">
        <v>52</v>
      </c>
      <c r="I276" s="5" t="s">
        <v>887</v>
      </c>
      <c r="J276" s="5"/>
      <c r="K276" s="6" t="n">
        <f aca="false">SUMPRODUCT((Parti!$A$2:$A$3000=A276)*Parti!$C$2:$C$3000*Parti!$D$2:$D$3000*Parti!$E$2:$E$3000)</f>
        <v>200</v>
      </c>
      <c r="L276" s="6" t="n">
        <f aca="false">ROUND((K276*Legenda!$H$2/100+SUMPRODUCT((Parti!$A$2:$A$3000=A276)*Parti!$C$2:$C$3000*Parti!$D$2:$D$3000*(Parti!$F$2:$F$3000+Parti!$J$2:$J$3000)))/60,0)</f>
        <v>6</v>
      </c>
      <c r="M276" s="5"/>
      <c r="N276" s="5" t="s">
        <v>42</v>
      </c>
      <c r="O276" s="5" t="s">
        <v>43</v>
      </c>
    </row>
    <row r="277" customFormat="false" ht="15" hidden="false" customHeight="false" outlineLevel="0" collapsed="false">
      <c r="A277" s="5" t="s">
        <v>926</v>
      </c>
      <c r="B277" s="5" t="s">
        <v>880</v>
      </c>
      <c r="C277" s="5" t="s">
        <v>913</v>
      </c>
      <c r="D277" s="5" t="s">
        <v>98</v>
      </c>
      <c r="E277" s="5" t="s">
        <v>135</v>
      </c>
      <c r="F277" s="5" t="s">
        <v>927</v>
      </c>
      <c r="G277" s="5" t="s">
        <v>928</v>
      </c>
      <c r="H277" s="5" t="s">
        <v>916</v>
      </c>
      <c r="I277" s="5" t="s">
        <v>887</v>
      </c>
      <c r="J277" s="5" t="s">
        <v>891</v>
      </c>
      <c r="K277" s="6" t="n">
        <f aca="false">SUMPRODUCT((Parti!$A$2:$A$3000=A277)*Parti!$C$2:$C$3000*Parti!$D$2:$D$3000*Parti!$E$2:$E$3000)</f>
        <v>150</v>
      </c>
      <c r="L277" s="6" t="n">
        <f aca="false">ROUND((K277*Legenda!$H$2/100+SUMPRODUCT((Parti!$A$2:$A$3000=A277)*Parti!$C$2:$C$3000*Parti!$D$2:$D$3000*(Parti!$F$2:$F$3000+Parti!$J$2:$J$3000)))/60,0)</f>
        <v>8</v>
      </c>
      <c r="M277" s="5"/>
      <c r="N277" s="5" t="s">
        <v>42</v>
      </c>
      <c r="O277" s="5" t="s">
        <v>43</v>
      </c>
    </row>
    <row r="278" customFormat="false" ht="15" hidden="false" customHeight="false" outlineLevel="0" collapsed="false">
      <c r="A278" s="5" t="s">
        <v>929</v>
      </c>
      <c r="B278" s="5" t="s">
        <v>880</v>
      </c>
      <c r="C278" s="5" t="s">
        <v>913</v>
      </c>
      <c r="D278" s="5" t="s">
        <v>45</v>
      </c>
      <c r="E278" s="5" t="s">
        <v>343</v>
      </c>
      <c r="F278" s="5" t="s">
        <v>930</v>
      </c>
      <c r="G278" s="5" t="s">
        <v>931</v>
      </c>
      <c r="H278" s="5" t="s">
        <v>916</v>
      </c>
      <c r="I278" s="5" t="s">
        <v>887</v>
      </c>
      <c r="J278" s="5" t="s">
        <v>891</v>
      </c>
      <c r="K278" s="6" t="n">
        <f aca="false">SUMPRODUCT((Parti!$A$2:$A$3000=A278)*Parti!$C$2:$C$3000*Parti!$D$2:$D$3000*Parti!$E$2:$E$3000)</f>
        <v>300</v>
      </c>
      <c r="L278" s="6" t="n">
        <f aca="false">ROUND((K278*Legenda!$H$2/100+SUMPRODUCT((Parti!$A$2:$A$3000=A278)*Parti!$C$2:$C$3000*Parti!$D$2:$D$3000*(Parti!$F$2:$F$3000+Parti!$J$2:$J$3000)))/60,0)</f>
        <v>8</v>
      </c>
      <c r="M278" s="5"/>
      <c r="N278" s="5" t="s">
        <v>42</v>
      </c>
      <c r="O278" s="5" t="s">
        <v>43</v>
      </c>
    </row>
    <row r="279" customFormat="false" ht="15" hidden="false" customHeight="false" outlineLevel="0" collapsed="false">
      <c r="A279" s="5" t="s">
        <v>932</v>
      </c>
      <c r="B279" s="5" t="s">
        <v>880</v>
      </c>
      <c r="C279" s="5" t="s">
        <v>913</v>
      </c>
      <c r="D279" s="5" t="s">
        <v>98</v>
      </c>
      <c r="E279" s="5" t="s">
        <v>135</v>
      </c>
      <c r="F279" s="5" t="s">
        <v>933</v>
      </c>
      <c r="G279" s="5" t="s">
        <v>934</v>
      </c>
      <c r="H279" s="5" t="s">
        <v>916</v>
      </c>
      <c r="I279" s="5" t="s">
        <v>883</v>
      </c>
      <c r="J279" s="5"/>
      <c r="K279" s="6" t="n">
        <f aca="false">SUMPRODUCT((Parti!$A$2:$A$3000=A279)*Parti!$C$2:$C$3000*Parti!$D$2:$D$3000*Parti!$E$2:$E$3000)</f>
        <v>400</v>
      </c>
      <c r="L279" s="6" t="n">
        <f aca="false">ROUND((K279*Legenda!$H$2/100+SUMPRODUCT((Parti!$A$2:$A$3000=A279)*Parti!$C$2:$C$3000*Parti!$D$2:$D$3000*(Parti!$F$2:$F$3000+Parti!$J$2:$J$3000)))/60,0)</f>
        <v>13</v>
      </c>
      <c r="M279" s="5" t="s">
        <v>935</v>
      </c>
      <c r="N279" s="5" t="s">
        <v>42</v>
      </c>
      <c r="O279" s="5" t="s">
        <v>43</v>
      </c>
    </row>
    <row r="280" customFormat="false" ht="15" hidden="false" customHeight="false" outlineLevel="0" collapsed="false">
      <c r="A280" s="5" t="s">
        <v>936</v>
      </c>
      <c r="B280" s="5" t="s">
        <v>880</v>
      </c>
      <c r="C280" s="5" t="s">
        <v>913</v>
      </c>
      <c r="D280" s="5" t="s">
        <v>98</v>
      </c>
      <c r="E280" s="5" t="s">
        <v>135</v>
      </c>
      <c r="F280" s="5" t="s">
        <v>937</v>
      </c>
      <c r="G280" s="5" t="s">
        <v>938</v>
      </c>
      <c r="H280" s="5" t="s">
        <v>916</v>
      </c>
      <c r="I280" s="5" t="s">
        <v>907</v>
      </c>
      <c r="J280" s="5"/>
      <c r="K280" s="6" t="n">
        <f aca="false">SUMPRODUCT((Parti!$A$2:$A$3000=A280)*Parti!$C$2:$C$3000*Parti!$D$2:$D$3000*Parti!$E$2:$E$3000)</f>
        <v>300</v>
      </c>
      <c r="L280" s="6" t="n">
        <f aca="false">ROUND((K280*Legenda!$H$2/100+SUMPRODUCT((Parti!$A$2:$A$3000=A280)*Parti!$C$2:$C$3000*Parti!$D$2:$D$3000*(Parti!$F$2:$F$3000+Parti!$J$2:$J$3000)))/60,0)</f>
        <v>16</v>
      </c>
      <c r="M280" s="5"/>
      <c r="N280" s="5" t="s">
        <v>42</v>
      </c>
      <c r="O280" s="5" t="s">
        <v>43</v>
      </c>
    </row>
    <row r="281" customFormat="false" ht="15" hidden="false" customHeight="false" outlineLevel="0" collapsed="false">
      <c r="A281" s="5" t="s">
        <v>939</v>
      </c>
      <c r="B281" s="5" t="s">
        <v>880</v>
      </c>
      <c r="C281" s="5" t="s">
        <v>913</v>
      </c>
      <c r="D281" s="5" t="s">
        <v>542</v>
      </c>
      <c r="E281" s="5" t="s">
        <v>139</v>
      </c>
      <c r="F281" s="5" t="s">
        <v>940</v>
      </c>
      <c r="G281" s="5" t="s">
        <v>941</v>
      </c>
      <c r="H281" s="5" t="s">
        <v>916</v>
      </c>
      <c r="I281" s="5" t="s">
        <v>883</v>
      </c>
      <c r="J281" s="5"/>
      <c r="K281" s="6" t="n">
        <f aca="false">SUMPRODUCT((Parti!$A$2:$A$3000=A281)*Parti!$C$2:$C$3000*Parti!$D$2:$D$3000*Parti!$E$2:$E$3000)</f>
        <v>400</v>
      </c>
      <c r="L281" s="6" t="n">
        <f aca="false">ROUND((K281*Legenda!$H$2/100+SUMPRODUCT((Parti!$A$2:$A$3000=A281)*Parti!$C$2:$C$3000*Parti!$D$2:$D$3000*(Parti!$F$2:$F$3000+Parti!$J$2:$J$3000)))/60,0)</f>
        <v>11</v>
      </c>
      <c r="M281" s="5"/>
      <c r="N281" s="5" t="s">
        <v>42</v>
      </c>
      <c r="O281" s="5" t="s">
        <v>43</v>
      </c>
    </row>
    <row r="282" customFormat="false" ht="15" hidden="false" customHeight="false" outlineLevel="0" collapsed="false">
      <c r="A282" s="5" t="s">
        <v>942</v>
      </c>
      <c r="B282" s="5" t="s">
        <v>880</v>
      </c>
      <c r="C282" s="5" t="s">
        <v>913</v>
      </c>
      <c r="D282" s="5" t="s">
        <v>45</v>
      </c>
      <c r="E282" s="5" t="s">
        <v>343</v>
      </c>
      <c r="F282" s="5" t="s">
        <v>943</v>
      </c>
      <c r="G282" s="5" t="s">
        <v>944</v>
      </c>
      <c r="H282" s="5" t="s">
        <v>916</v>
      </c>
      <c r="I282" s="5" t="s">
        <v>883</v>
      </c>
      <c r="J282" s="5"/>
      <c r="K282" s="6" t="n">
        <f aca="false">SUMPRODUCT((Parti!$A$2:$A$3000=A282)*Parti!$C$2:$C$3000*Parti!$D$2:$D$3000*Parti!$E$2:$E$3000)</f>
        <v>600</v>
      </c>
      <c r="L282" s="6" t="n">
        <f aca="false">ROUND((K282*Legenda!$H$2/100+SUMPRODUCT((Parti!$A$2:$A$3000=A282)*Parti!$C$2:$C$3000*Parti!$D$2:$D$3000*(Parti!$F$2:$F$3000+Parti!$J$2:$J$3000)))/60,0)</f>
        <v>13</v>
      </c>
      <c r="M282" s="5"/>
      <c r="N282" s="5" t="s">
        <v>42</v>
      </c>
      <c r="O282" s="5" t="s">
        <v>43</v>
      </c>
    </row>
    <row r="283" customFormat="false" ht="15" hidden="false" customHeight="false" outlineLevel="0" collapsed="false">
      <c r="A283" s="5" t="s">
        <v>945</v>
      </c>
      <c r="B283" s="5" t="s">
        <v>880</v>
      </c>
      <c r="C283" s="5" t="s">
        <v>913</v>
      </c>
      <c r="D283" s="5" t="s">
        <v>98</v>
      </c>
      <c r="E283" s="5" t="s">
        <v>135</v>
      </c>
      <c r="F283" s="5" t="s">
        <v>946</v>
      </c>
      <c r="G283" s="5" t="s">
        <v>947</v>
      </c>
      <c r="H283" s="5" t="s">
        <v>916</v>
      </c>
      <c r="I283" s="5" t="s">
        <v>907</v>
      </c>
      <c r="J283" s="5"/>
      <c r="K283" s="6" t="n">
        <f aca="false">SUMPRODUCT((Parti!$A$2:$A$3000=A283)*Parti!$C$2:$C$3000*Parti!$D$2:$D$3000*Parti!$E$2:$E$3000)</f>
        <v>70</v>
      </c>
      <c r="L283" s="6" t="n">
        <f aca="false">ROUND((K283*Legenda!$H$2/100+SUMPRODUCT((Parti!$A$2:$A$3000=A283)*Parti!$C$2:$C$3000*Parti!$D$2:$D$3000*(Parti!$F$2:$F$3000+Parti!$J$2:$J$3000)))/60,0)</f>
        <v>3</v>
      </c>
      <c r="M283" s="5"/>
      <c r="N283" s="5" t="s">
        <v>42</v>
      </c>
      <c r="O283" s="5" t="s">
        <v>43</v>
      </c>
    </row>
    <row r="284" customFormat="false" ht="15" hidden="false" customHeight="false" outlineLevel="0" collapsed="false">
      <c r="A284" s="5" t="s">
        <v>948</v>
      </c>
      <c r="B284" s="5" t="s">
        <v>880</v>
      </c>
      <c r="C284" s="5" t="s">
        <v>342</v>
      </c>
      <c r="D284" s="5" t="s">
        <v>394</v>
      </c>
      <c r="E284" s="5" t="s">
        <v>139</v>
      </c>
      <c r="F284" s="5" t="s">
        <v>949</v>
      </c>
      <c r="G284" s="5" t="s">
        <v>950</v>
      </c>
      <c r="H284" s="5"/>
      <c r="I284" s="5" t="s">
        <v>883</v>
      </c>
      <c r="J284" s="5"/>
      <c r="K284" s="6" t="n">
        <f aca="false">SUMPRODUCT((Parti!$A$2:$A$3000=A284)*Parti!$C$2:$C$3000*Parti!$D$2:$D$3000*Parti!$E$2:$E$3000)</f>
        <v>0</v>
      </c>
      <c r="L284" s="6" t="n">
        <f aca="false">ROUND((K284*Legenda!$H$2/100+SUMPRODUCT((Parti!$A$2:$A$3000=A284)*Parti!$C$2:$C$3000*Parti!$D$2:$D$3000*(Parti!$F$2:$F$3000+Parti!$J$2:$J$3000)))/60,0)</f>
        <v>9</v>
      </c>
      <c r="M284" s="5"/>
      <c r="N284" s="5" t="s">
        <v>42</v>
      </c>
      <c r="O284" s="5" t="s">
        <v>43</v>
      </c>
    </row>
    <row r="285" customFormat="false" ht="15" hidden="false" customHeight="false" outlineLevel="0" collapsed="false">
      <c r="A285" s="5" t="s">
        <v>951</v>
      </c>
      <c r="B285" s="5" t="s">
        <v>880</v>
      </c>
      <c r="C285" s="5" t="s">
        <v>342</v>
      </c>
      <c r="D285" s="5" t="s">
        <v>394</v>
      </c>
      <c r="E285" s="5" t="s">
        <v>586</v>
      </c>
      <c r="F285" s="5" t="s">
        <v>952</v>
      </c>
      <c r="G285" s="5" t="s">
        <v>953</v>
      </c>
      <c r="H285" s="5"/>
      <c r="I285" s="5" t="s">
        <v>907</v>
      </c>
      <c r="J285" s="5" t="s">
        <v>954</v>
      </c>
      <c r="K285" s="6" t="n">
        <f aca="false">SUMPRODUCT((Parti!$A$2:$A$3000=A285)*Parti!$C$2:$C$3000*Parti!$D$2:$D$3000*Parti!$E$2:$E$3000)</f>
        <v>0</v>
      </c>
      <c r="L285" s="6" t="n">
        <f aca="false">ROUND((K285*Legenda!$H$2/100+SUMPRODUCT((Parti!$A$2:$A$3000=A285)*Parti!$C$2:$C$3000*Parti!$D$2:$D$3000*(Parti!$F$2:$F$3000+Parti!$J$2:$J$3000)))/60,0)</f>
        <v>8</v>
      </c>
      <c r="M285" s="5"/>
      <c r="N285" s="5" t="s">
        <v>42</v>
      </c>
      <c r="O285" s="5" t="s">
        <v>43</v>
      </c>
    </row>
    <row r="286" customFormat="false" ht="15" hidden="false" customHeight="false" outlineLevel="0" collapsed="false">
      <c r="A286" s="5" t="s">
        <v>955</v>
      </c>
      <c r="B286" s="5" t="s">
        <v>880</v>
      </c>
      <c r="C286" s="5" t="s">
        <v>342</v>
      </c>
      <c r="D286" s="5" t="s">
        <v>88</v>
      </c>
      <c r="E286" s="5" t="s">
        <v>343</v>
      </c>
      <c r="F286" s="5" t="s">
        <v>956</v>
      </c>
      <c r="G286" s="5" t="s">
        <v>957</v>
      </c>
      <c r="H286" s="5"/>
      <c r="I286" s="5" t="s">
        <v>887</v>
      </c>
      <c r="J286" s="5"/>
      <c r="K286" s="6" t="n">
        <f aca="false">SUMPRODUCT((Parti!$A$2:$A$3000=A286)*Parti!$C$2:$C$3000*Parti!$D$2:$D$3000*Parti!$E$2:$E$3000)</f>
        <v>0</v>
      </c>
      <c r="L286" s="6" t="n">
        <f aca="false">ROUND((K286*Legenda!$H$2/100+SUMPRODUCT((Parti!$A$2:$A$3000=A286)*Parti!$C$2:$C$3000*Parti!$D$2:$D$3000*(Parti!$F$2:$F$3000+Parti!$J$2:$J$3000)))/60,0)</f>
        <v>5</v>
      </c>
      <c r="M286" s="5"/>
      <c r="N286" s="5" t="s">
        <v>42</v>
      </c>
      <c r="O286" s="5" t="s">
        <v>43</v>
      </c>
    </row>
    <row r="287" customFormat="false" ht="15" hidden="false" customHeight="false" outlineLevel="0" collapsed="false">
      <c r="A287" s="5" t="s">
        <v>958</v>
      </c>
      <c r="B287" s="5" t="s">
        <v>880</v>
      </c>
      <c r="C287" s="5" t="s">
        <v>342</v>
      </c>
      <c r="D287" s="5" t="s">
        <v>394</v>
      </c>
      <c r="E287" s="5" t="s">
        <v>135</v>
      </c>
      <c r="F287" s="5" t="s">
        <v>959</v>
      </c>
      <c r="G287" s="5" t="s">
        <v>960</v>
      </c>
      <c r="H287" s="5"/>
      <c r="I287" s="5" t="s">
        <v>883</v>
      </c>
      <c r="J287" s="5"/>
      <c r="K287" s="6" t="n">
        <f aca="false">SUMPRODUCT((Parti!$A$2:$A$3000=A287)*Parti!$C$2:$C$3000*Parti!$D$2:$D$3000*Parti!$E$2:$E$3000)</f>
        <v>0</v>
      </c>
      <c r="L287" s="6" t="n">
        <f aca="false">ROUND((K287*Legenda!$H$2/100+SUMPRODUCT((Parti!$A$2:$A$3000=A287)*Parti!$C$2:$C$3000*Parti!$D$2:$D$3000*(Parti!$F$2:$F$3000+Parti!$J$2:$J$3000)))/60,0)</f>
        <v>10</v>
      </c>
      <c r="M287" s="5"/>
      <c r="N287" s="5" t="s">
        <v>42</v>
      </c>
      <c r="O287" s="5" t="s">
        <v>43</v>
      </c>
    </row>
    <row r="288" customFormat="false" ht="15" hidden="false" customHeight="false" outlineLevel="0" collapsed="false">
      <c r="A288" s="5" t="s">
        <v>961</v>
      </c>
      <c r="B288" s="5" t="s">
        <v>880</v>
      </c>
      <c r="C288" s="5" t="s">
        <v>342</v>
      </c>
      <c r="D288" s="5" t="s">
        <v>45</v>
      </c>
      <c r="E288" s="5" t="s">
        <v>343</v>
      </c>
      <c r="F288" s="5" t="s">
        <v>962</v>
      </c>
      <c r="G288" s="5" t="s">
        <v>963</v>
      </c>
      <c r="H288" s="5"/>
      <c r="I288" s="5" t="s">
        <v>887</v>
      </c>
      <c r="J288" s="5"/>
      <c r="K288" s="6" t="n">
        <f aca="false">SUMPRODUCT((Parti!$A$2:$A$3000=A288)*Parti!$C$2:$C$3000*Parti!$D$2:$D$3000*Parti!$E$2:$E$3000)</f>
        <v>0</v>
      </c>
      <c r="L288" s="6" t="n">
        <f aca="false">ROUND((K288*Legenda!$H$2/100+SUMPRODUCT((Parti!$A$2:$A$3000=A288)*Parti!$C$2:$C$3000*Parti!$D$2:$D$3000*(Parti!$F$2:$F$3000+Parti!$J$2:$J$3000)))/60,0)</f>
        <v>10</v>
      </c>
      <c r="M288" s="5"/>
      <c r="N288" s="5" t="s">
        <v>42</v>
      </c>
      <c r="O288" s="5" t="s">
        <v>43</v>
      </c>
    </row>
    <row r="289" customFormat="false" ht="15" hidden="false" customHeight="false" outlineLevel="0" collapsed="false">
      <c r="A289" s="5" t="s">
        <v>964</v>
      </c>
      <c r="B289" s="5" t="s">
        <v>880</v>
      </c>
      <c r="C289" s="5" t="s">
        <v>342</v>
      </c>
      <c r="D289" s="5" t="s">
        <v>394</v>
      </c>
      <c r="E289" s="5" t="s">
        <v>139</v>
      </c>
      <c r="F289" s="5" t="s">
        <v>965</v>
      </c>
      <c r="G289" s="5" t="s">
        <v>966</v>
      </c>
      <c r="H289" s="5"/>
      <c r="I289" s="5" t="s">
        <v>883</v>
      </c>
      <c r="J289" s="5"/>
      <c r="K289" s="6" t="n">
        <f aca="false">SUMPRODUCT((Parti!$A$2:$A$3000=A289)*Parti!$C$2:$C$3000*Parti!$D$2:$D$3000*Parti!$E$2:$E$3000)</f>
        <v>200</v>
      </c>
      <c r="L289" s="6" t="n">
        <f aca="false">ROUND((K289*Legenda!$H$2/100+SUMPRODUCT((Parti!$A$2:$A$3000=A289)*Parti!$C$2:$C$3000*Parti!$D$2:$D$3000*(Parti!$F$2:$F$3000+Parti!$J$2:$J$3000)))/60,0)</f>
        <v>8</v>
      </c>
      <c r="M289" s="5"/>
      <c r="N289" s="5" t="s">
        <v>42</v>
      </c>
      <c r="O289" s="5" t="s">
        <v>43</v>
      </c>
    </row>
    <row r="290" customFormat="false" ht="15" hidden="false" customHeight="false" outlineLevel="0" collapsed="false">
      <c r="A290" s="5" t="s">
        <v>967</v>
      </c>
      <c r="B290" s="5" t="s">
        <v>880</v>
      </c>
      <c r="C290" s="5" t="s">
        <v>342</v>
      </c>
      <c r="D290" s="5" t="s">
        <v>394</v>
      </c>
      <c r="E290" s="5" t="s">
        <v>586</v>
      </c>
      <c r="F290" s="5" t="s">
        <v>968</v>
      </c>
      <c r="G290" s="5" t="s">
        <v>969</v>
      </c>
      <c r="H290" s="5"/>
      <c r="I290" s="5" t="s">
        <v>907</v>
      </c>
      <c r="J290" s="5"/>
      <c r="K290" s="6" t="n">
        <f aca="false">SUMPRODUCT((Parti!$A$2:$A$3000=A290)*Parti!$C$2:$C$3000*Parti!$D$2:$D$3000*Parti!$E$2:$E$3000)</f>
        <v>0</v>
      </c>
      <c r="L290" s="6" t="n">
        <f aca="false">ROUND((K290*Legenda!$H$2/100+SUMPRODUCT((Parti!$A$2:$A$3000=A290)*Parti!$C$2:$C$3000*Parti!$D$2:$D$3000*(Parti!$F$2:$F$3000+Parti!$J$2:$J$3000)))/60,0)</f>
        <v>6</v>
      </c>
      <c r="M290" s="5"/>
      <c r="N290" s="5" t="s">
        <v>42</v>
      </c>
      <c r="O290" s="5" t="s">
        <v>43</v>
      </c>
    </row>
    <row r="291" customFormat="false" ht="15" hidden="false" customHeight="false" outlineLevel="0" collapsed="false">
      <c r="A291" s="5" t="s">
        <v>970</v>
      </c>
      <c r="B291" s="5" t="s">
        <v>880</v>
      </c>
      <c r="C291" s="5" t="s">
        <v>342</v>
      </c>
      <c r="D291" s="5" t="s">
        <v>98</v>
      </c>
      <c r="E291" s="5" t="s">
        <v>135</v>
      </c>
      <c r="F291" s="5" t="s">
        <v>971</v>
      </c>
      <c r="G291" s="5" t="s">
        <v>972</v>
      </c>
      <c r="H291" s="5"/>
      <c r="I291" s="5" t="s">
        <v>883</v>
      </c>
      <c r="J291" s="5"/>
      <c r="K291" s="6" t="n">
        <f aca="false">SUMPRODUCT((Parti!$A$2:$A$3000=A291)*Parti!$C$2:$C$3000*Parti!$D$2:$D$3000*Parti!$E$2:$E$3000)</f>
        <v>0</v>
      </c>
      <c r="L291" s="6" t="n">
        <f aca="false">ROUND((K291*Legenda!$H$2/100+SUMPRODUCT((Parti!$A$2:$A$3000=A291)*Parti!$C$2:$C$3000*Parti!$D$2:$D$3000*(Parti!$F$2:$F$3000+Parti!$J$2:$J$3000)))/60,0)</f>
        <v>8</v>
      </c>
      <c r="M291" s="5"/>
      <c r="N291" s="5" t="s">
        <v>42</v>
      </c>
      <c r="O291" s="5" t="s">
        <v>43</v>
      </c>
    </row>
    <row r="292" customFormat="false" ht="15" hidden="false" customHeight="false" outlineLevel="0" collapsed="false">
      <c r="A292" s="5" t="s">
        <v>973</v>
      </c>
      <c r="B292" s="5" t="s">
        <v>880</v>
      </c>
      <c r="C292" s="5" t="s">
        <v>342</v>
      </c>
      <c r="D292" s="5" t="s">
        <v>88</v>
      </c>
      <c r="E292" s="5" t="s">
        <v>343</v>
      </c>
      <c r="F292" s="5" t="s">
        <v>974</v>
      </c>
      <c r="G292" s="5" t="s">
        <v>975</v>
      </c>
      <c r="H292" s="5"/>
      <c r="I292" s="5" t="s">
        <v>899</v>
      </c>
      <c r="J292" s="5"/>
      <c r="K292" s="6" t="n">
        <f aca="false">SUMPRODUCT((Parti!$A$2:$A$3000=A292)*Parti!$C$2:$C$3000*Parti!$D$2:$D$3000*Parti!$E$2:$E$3000)</f>
        <v>0</v>
      </c>
      <c r="L292" s="6" t="n">
        <f aca="false">ROUND((K292*Legenda!$H$2/100+SUMPRODUCT((Parti!$A$2:$A$3000=A292)*Parti!$C$2:$C$3000*Parti!$D$2:$D$3000*(Parti!$F$2:$F$3000+Parti!$J$2:$J$3000)))/60,0)</f>
        <v>5</v>
      </c>
      <c r="M292" s="5"/>
      <c r="N292" s="5" t="s">
        <v>42</v>
      </c>
      <c r="O292" s="5" t="s">
        <v>43</v>
      </c>
    </row>
    <row r="293" customFormat="false" ht="15" hidden="false" customHeight="false" outlineLevel="0" collapsed="false">
      <c r="A293" s="5" t="s">
        <v>976</v>
      </c>
      <c r="B293" s="5" t="s">
        <v>880</v>
      </c>
      <c r="C293" s="5" t="s">
        <v>342</v>
      </c>
      <c r="D293" s="5" t="s">
        <v>394</v>
      </c>
      <c r="E293" s="5" t="s">
        <v>108</v>
      </c>
      <c r="F293" s="5" t="s">
        <v>977</v>
      </c>
      <c r="G293" s="5" t="s">
        <v>978</v>
      </c>
      <c r="H293" s="5"/>
      <c r="I293" s="5" t="s">
        <v>887</v>
      </c>
      <c r="J293" s="5" t="s">
        <v>891</v>
      </c>
      <c r="K293" s="6" t="n">
        <f aca="false">SUMPRODUCT((Parti!$A$2:$A$3000=A293)*Parti!$C$2:$C$3000*Parti!$D$2:$D$3000*Parti!$E$2:$E$3000)</f>
        <v>0</v>
      </c>
      <c r="L293" s="6" t="n">
        <f aca="false">ROUND((K293*Legenda!$H$2/100+SUMPRODUCT((Parti!$A$2:$A$3000=A293)*Parti!$C$2:$C$3000*Parti!$D$2:$D$3000*(Parti!$F$2:$F$3000+Parti!$J$2:$J$3000)))/60,0)</f>
        <v>8</v>
      </c>
      <c r="M293" s="5"/>
      <c r="N293" s="5" t="s">
        <v>42</v>
      </c>
      <c r="O293" s="5" t="s">
        <v>43</v>
      </c>
    </row>
    <row r="294" customFormat="false" ht="15" hidden="false" customHeight="false" outlineLevel="0" collapsed="false">
      <c r="A294" s="5" t="s">
        <v>979</v>
      </c>
      <c r="B294" s="5" t="s">
        <v>880</v>
      </c>
      <c r="C294" s="5" t="s">
        <v>980</v>
      </c>
      <c r="D294" s="5" t="s">
        <v>88</v>
      </c>
      <c r="E294" s="5" t="s">
        <v>153</v>
      </c>
      <c r="F294" s="5" t="s">
        <v>981</v>
      </c>
      <c r="G294" s="5" t="s">
        <v>982</v>
      </c>
      <c r="H294" s="5"/>
      <c r="I294" s="5" t="s">
        <v>887</v>
      </c>
      <c r="J294" s="5" t="s">
        <v>891</v>
      </c>
      <c r="K294" s="6" t="n">
        <f aca="false">SUMPRODUCT((Parti!$A$2:$A$3000=A294)*Parti!$C$2:$C$3000*Parti!$D$2:$D$3000*Parti!$E$2:$E$3000)</f>
        <v>0</v>
      </c>
      <c r="L294" s="6" t="n">
        <f aca="false">ROUND((K294*Legenda!$H$2/100+SUMPRODUCT((Parti!$A$2:$A$3000=A294)*Parti!$C$2:$C$3000*Parti!$D$2:$D$3000*(Parti!$F$2:$F$3000+Parti!$J$2:$J$3000)))/60,0)</f>
        <v>10</v>
      </c>
      <c r="M294" s="5"/>
      <c r="N294" s="5" t="s">
        <v>42</v>
      </c>
      <c r="O294" s="5" t="s">
        <v>43</v>
      </c>
    </row>
    <row r="295" customFormat="false" ht="15" hidden="false" customHeight="false" outlineLevel="0" collapsed="false">
      <c r="A295" s="5" t="s">
        <v>983</v>
      </c>
      <c r="B295" s="5" t="s">
        <v>880</v>
      </c>
      <c r="C295" s="5" t="s">
        <v>980</v>
      </c>
      <c r="D295" s="5" t="s">
        <v>88</v>
      </c>
      <c r="E295" s="5" t="s">
        <v>153</v>
      </c>
      <c r="F295" s="5" t="s">
        <v>984</v>
      </c>
      <c r="G295" s="5" t="s">
        <v>985</v>
      </c>
      <c r="H295" s="5"/>
      <c r="I295" s="5" t="s">
        <v>887</v>
      </c>
      <c r="J295" s="5" t="s">
        <v>891</v>
      </c>
      <c r="K295" s="6" t="n">
        <f aca="false">SUMPRODUCT((Parti!$A$2:$A$3000=A295)*Parti!$C$2:$C$3000*Parti!$D$2:$D$3000*Parti!$E$2:$E$3000)</f>
        <v>0</v>
      </c>
      <c r="L295" s="6" t="n">
        <f aca="false">ROUND((K295*Legenda!$H$2/100+SUMPRODUCT((Parti!$A$2:$A$3000=A295)*Parti!$C$2:$C$3000*Parti!$D$2:$D$3000*(Parti!$F$2:$F$3000+Parti!$J$2:$J$3000)))/60,0)</f>
        <v>10</v>
      </c>
      <c r="M295" s="5"/>
      <c r="N295" s="5" t="s">
        <v>42</v>
      </c>
      <c r="O295" s="5" t="s">
        <v>43</v>
      </c>
    </row>
    <row r="296" customFormat="false" ht="15" hidden="false" customHeight="false" outlineLevel="0" collapsed="false">
      <c r="A296" s="5" t="s">
        <v>986</v>
      </c>
      <c r="B296" s="5" t="s">
        <v>880</v>
      </c>
      <c r="C296" s="5" t="s">
        <v>980</v>
      </c>
      <c r="D296" s="5" t="s">
        <v>88</v>
      </c>
      <c r="E296" s="5" t="s">
        <v>153</v>
      </c>
      <c r="F296" s="5" t="s">
        <v>987</v>
      </c>
      <c r="G296" s="5" t="s">
        <v>988</v>
      </c>
      <c r="H296" s="5"/>
      <c r="I296" s="5" t="s">
        <v>989</v>
      </c>
      <c r="J296" s="5" t="s">
        <v>891</v>
      </c>
      <c r="K296" s="6" t="n">
        <f aca="false">SUMPRODUCT((Parti!$A$2:$A$3000=A296)*Parti!$C$2:$C$3000*Parti!$D$2:$D$3000*Parti!$E$2:$E$3000)</f>
        <v>0</v>
      </c>
      <c r="L296" s="6" t="n">
        <f aca="false">ROUND((K296*Legenda!$H$2/100+SUMPRODUCT((Parti!$A$2:$A$3000=A296)*Parti!$C$2:$C$3000*Parti!$D$2:$D$3000*(Parti!$F$2:$F$3000+Parti!$J$2:$J$3000)))/60,0)</f>
        <v>8</v>
      </c>
      <c r="M296" s="5"/>
      <c r="N296" s="5" t="s">
        <v>42</v>
      </c>
      <c r="O296" s="5" t="s">
        <v>43</v>
      </c>
    </row>
    <row r="297" customFormat="false" ht="15" hidden="false" customHeight="false" outlineLevel="0" collapsed="false">
      <c r="A297" s="5" t="s">
        <v>990</v>
      </c>
      <c r="B297" s="5" t="s">
        <v>880</v>
      </c>
      <c r="C297" s="5" t="s">
        <v>980</v>
      </c>
      <c r="D297" s="5" t="s">
        <v>88</v>
      </c>
      <c r="E297" s="5" t="s">
        <v>153</v>
      </c>
      <c r="F297" s="5" t="s">
        <v>991</v>
      </c>
      <c r="G297" s="5" t="s">
        <v>992</v>
      </c>
      <c r="H297" s="5"/>
      <c r="I297" s="5" t="s">
        <v>887</v>
      </c>
      <c r="J297" s="5" t="s">
        <v>891</v>
      </c>
      <c r="K297" s="6" t="n">
        <f aca="false">SUMPRODUCT((Parti!$A$2:$A$3000=A297)*Parti!$C$2:$C$3000*Parti!$D$2:$D$3000*Parti!$E$2:$E$3000)</f>
        <v>0</v>
      </c>
      <c r="L297" s="6" t="n">
        <f aca="false">ROUND((K297*Legenda!$H$2/100+SUMPRODUCT((Parti!$A$2:$A$3000=A297)*Parti!$C$2:$C$3000*Parti!$D$2:$D$3000*(Parti!$F$2:$F$3000+Parti!$J$2:$J$3000)))/60,0)</f>
        <v>10</v>
      </c>
      <c r="M297" s="5"/>
      <c r="N297" s="5" t="s">
        <v>42</v>
      </c>
      <c r="O297" s="5" t="s">
        <v>43</v>
      </c>
    </row>
    <row r="298" customFormat="false" ht="15" hidden="false" customHeight="false" outlineLevel="0" collapsed="false">
      <c r="A298" s="5" t="s">
        <v>993</v>
      </c>
      <c r="B298" s="5" t="s">
        <v>880</v>
      </c>
      <c r="C298" s="5" t="s">
        <v>980</v>
      </c>
      <c r="D298" s="5" t="s">
        <v>994</v>
      </c>
      <c r="E298" s="5" t="s">
        <v>995</v>
      </c>
      <c r="F298" s="5" t="s">
        <v>996</v>
      </c>
      <c r="G298" s="5" t="s">
        <v>997</v>
      </c>
      <c r="H298" s="5"/>
      <c r="I298" s="5" t="s">
        <v>883</v>
      </c>
      <c r="J298" s="5" t="s">
        <v>891</v>
      </c>
      <c r="K298" s="6" t="n">
        <f aca="false">SUMPRODUCT((Parti!$A$2:$A$3000=A298)*Parti!$C$2:$C$3000*Parti!$D$2:$D$3000*Parti!$E$2:$E$3000)</f>
        <v>0</v>
      </c>
      <c r="L298" s="6" t="n">
        <f aca="false">ROUND((K298*Legenda!$H$2/100+SUMPRODUCT((Parti!$A$2:$A$3000=A298)*Parti!$C$2:$C$3000*Parti!$D$2:$D$3000*(Parti!$F$2:$F$3000+Parti!$J$2:$J$3000)))/60,0)</f>
        <v>10</v>
      </c>
      <c r="M298" s="5"/>
      <c r="N298" s="5" t="s">
        <v>42</v>
      </c>
      <c r="O298" s="5" t="s">
        <v>43</v>
      </c>
    </row>
    <row r="299" customFormat="false" ht="15" hidden="false" customHeight="false" outlineLevel="0" collapsed="false">
      <c r="A299" s="5" t="s">
        <v>998</v>
      </c>
      <c r="B299" s="5" t="s">
        <v>880</v>
      </c>
      <c r="C299" s="5" t="s">
        <v>980</v>
      </c>
      <c r="D299" s="5" t="s">
        <v>88</v>
      </c>
      <c r="E299" s="5" t="s">
        <v>153</v>
      </c>
      <c r="F299" s="5" t="s">
        <v>999</v>
      </c>
      <c r="G299" s="5" t="s">
        <v>1000</v>
      </c>
      <c r="H299" s="5"/>
      <c r="I299" s="5" t="s">
        <v>883</v>
      </c>
      <c r="J299" s="5" t="s">
        <v>891</v>
      </c>
      <c r="K299" s="6" t="n">
        <f aca="false">SUMPRODUCT((Parti!$A$2:$A$3000=A299)*Parti!$C$2:$C$3000*Parti!$D$2:$D$3000*Parti!$E$2:$E$3000)</f>
        <v>0</v>
      </c>
      <c r="L299" s="6" t="n">
        <f aca="false">ROUND((K299*Legenda!$H$2/100+SUMPRODUCT((Parti!$A$2:$A$3000=A299)*Parti!$C$2:$C$3000*Parti!$D$2:$D$3000*(Parti!$F$2:$F$3000+Parti!$J$2:$J$3000)))/60,0)</f>
        <v>8</v>
      </c>
      <c r="M299" s="5"/>
      <c r="N299" s="5" t="s">
        <v>42</v>
      </c>
      <c r="O299" s="5" t="s">
        <v>43</v>
      </c>
    </row>
    <row r="300" customFormat="false" ht="15" hidden="false" customHeight="false" outlineLevel="0" collapsed="false">
      <c r="A300" s="5" t="s">
        <v>1001</v>
      </c>
      <c r="B300" s="5" t="s">
        <v>880</v>
      </c>
      <c r="C300" s="5" t="s">
        <v>980</v>
      </c>
      <c r="D300" s="5" t="s">
        <v>994</v>
      </c>
      <c r="E300" s="5" t="s">
        <v>995</v>
      </c>
      <c r="F300" s="5" t="s">
        <v>1002</v>
      </c>
      <c r="G300" s="5" t="s">
        <v>1003</v>
      </c>
      <c r="H300" s="5"/>
      <c r="I300" s="5" t="s">
        <v>883</v>
      </c>
      <c r="J300" s="5" t="s">
        <v>908</v>
      </c>
      <c r="K300" s="6" t="n">
        <f aca="false">SUMPRODUCT((Parti!$A$2:$A$3000=A300)*Parti!$C$2:$C$3000*Parti!$D$2:$D$3000*Parti!$E$2:$E$3000)</f>
        <v>0</v>
      </c>
      <c r="L300" s="6" t="n">
        <f aca="false">ROUND((K300*Legenda!$H$2/100+SUMPRODUCT((Parti!$A$2:$A$3000=A300)*Parti!$C$2:$C$3000*Parti!$D$2:$D$3000*(Parti!$F$2:$F$3000+Parti!$J$2:$J$3000)))/60,0)</f>
        <v>10</v>
      </c>
      <c r="M300" s="5"/>
      <c r="N300" s="5" t="s">
        <v>42</v>
      </c>
      <c r="O300" s="5" t="s">
        <v>43</v>
      </c>
    </row>
    <row r="301" customFormat="false" ht="15" hidden="false" customHeight="false" outlineLevel="0" collapsed="false">
      <c r="A301" s="5" t="s">
        <v>1004</v>
      </c>
      <c r="B301" s="5" t="s">
        <v>880</v>
      </c>
      <c r="C301" s="5" t="s">
        <v>980</v>
      </c>
      <c r="D301" s="5" t="s">
        <v>88</v>
      </c>
      <c r="E301" s="5" t="s">
        <v>153</v>
      </c>
      <c r="F301" s="5" t="s">
        <v>1005</v>
      </c>
      <c r="G301" s="5" t="s">
        <v>1006</v>
      </c>
      <c r="H301" s="5"/>
      <c r="I301" s="5" t="s">
        <v>883</v>
      </c>
      <c r="J301" s="5" t="s">
        <v>908</v>
      </c>
      <c r="K301" s="6" t="n">
        <f aca="false">SUMPRODUCT((Parti!$A$2:$A$3000=A301)*Parti!$C$2:$C$3000*Parti!$D$2:$D$3000*Parti!$E$2:$E$3000)</f>
        <v>0</v>
      </c>
      <c r="L301" s="6" t="n">
        <f aca="false">ROUND((K301*Legenda!$H$2/100+SUMPRODUCT((Parti!$A$2:$A$3000=A301)*Parti!$C$2:$C$3000*Parti!$D$2:$D$3000*(Parti!$F$2:$F$3000+Parti!$J$2:$J$3000)))/60,0)</f>
        <v>8</v>
      </c>
      <c r="M301" s="5"/>
      <c r="N301" s="5" t="s">
        <v>42</v>
      </c>
      <c r="O301" s="5" t="s">
        <v>43</v>
      </c>
    </row>
    <row r="302" customFormat="false" ht="15" hidden="false" customHeight="false" outlineLevel="0" collapsed="false">
      <c r="A302" s="5" t="s">
        <v>1007</v>
      </c>
      <c r="B302" s="5" t="s">
        <v>880</v>
      </c>
      <c r="C302" s="5" t="s">
        <v>1008</v>
      </c>
      <c r="D302" s="5" t="s">
        <v>88</v>
      </c>
      <c r="E302" s="5" t="s">
        <v>153</v>
      </c>
      <c r="F302" s="5" t="s">
        <v>1009</v>
      </c>
      <c r="G302" s="5" t="s">
        <v>1010</v>
      </c>
      <c r="H302" s="5"/>
      <c r="I302" s="5" t="s">
        <v>887</v>
      </c>
      <c r="J302" s="5" t="s">
        <v>908</v>
      </c>
      <c r="K302" s="6" t="n">
        <f aca="false">SUMPRODUCT((Parti!$A$2:$A$3000=A302)*Parti!$C$2:$C$3000*Parti!$D$2:$D$3000*Parti!$E$2:$E$3000)</f>
        <v>0</v>
      </c>
      <c r="L302" s="6" t="n">
        <f aca="false">ROUND((K302*Legenda!$H$2/100+SUMPRODUCT((Parti!$A$2:$A$3000=A302)*Parti!$C$2:$C$3000*Parti!$D$2:$D$3000*(Parti!$F$2:$F$3000+Parti!$J$2:$J$3000)))/60,0)</f>
        <v>10</v>
      </c>
      <c r="M302" s="5"/>
      <c r="N302" s="5" t="s">
        <v>42</v>
      </c>
      <c r="O302" s="5" t="s">
        <v>43</v>
      </c>
    </row>
    <row r="303" customFormat="false" ht="15" hidden="false" customHeight="false" outlineLevel="0" collapsed="false">
      <c r="A303" s="5" t="s">
        <v>1011</v>
      </c>
      <c r="B303" s="5" t="s">
        <v>880</v>
      </c>
      <c r="C303" s="5" t="s">
        <v>1008</v>
      </c>
      <c r="D303" s="5" t="s">
        <v>88</v>
      </c>
      <c r="E303" s="5" t="s">
        <v>153</v>
      </c>
      <c r="F303" s="5" t="s">
        <v>1012</v>
      </c>
      <c r="G303" s="5" t="s">
        <v>1013</v>
      </c>
      <c r="H303" s="5"/>
      <c r="I303" s="5" t="s">
        <v>887</v>
      </c>
      <c r="J303" s="5" t="s">
        <v>908</v>
      </c>
      <c r="K303" s="6" t="n">
        <f aca="false">SUMPRODUCT((Parti!$A$2:$A$3000=A303)*Parti!$C$2:$C$3000*Parti!$D$2:$D$3000*Parti!$E$2:$E$3000)</f>
        <v>0</v>
      </c>
      <c r="L303" s="6" t="n">
        <f aca="false">ROUND((K303*Legenda!$H$2/100+SUMPRODUCT((Parti!$A$2:$A$3000=A303)*Parti!$C$2:$C$3000*Parti!$D$2:$D$3000*(Parti!$F$2:$F$3000+Parti!$J$2:$J$3000)))/60,0)</f>
        <v>10</v>
      </c>
      <c r="M303" s="5"/>
      <c r="N303" s="5" t="s">
        <v>42</v>
      </c>
      <c r="O303" s="5" t="s">
        <v>43</v>
      </c>
    </row>
    <row r="304" customFormat="false" ht="15" hidden="false" customHeight="false" outlineLevel="0" collapsed="false">
      <c r="A304" s="5" t="s">
        <v>1014</v>
      </c>
      <c r="B304" s="5" t="s">
        <v>880</v>
      </c>
      <c r="C304" s="5" t="s">
        <v>1008</v>
      </c>
      <c r="D304" s="5" t="s">
        <v>88</v>
      </c>
      <c r="E304" s="5" t="s">
        <v>153</v>
      </c>
      <c r="F304" s="5" t="s">
        <v>1015</v>
      </c>
      <c r="G304" s="5" t="s">
        <v>1016</v>
      </c>
      <c r="H304" s="5"/>
      <c r="I304" s="5" t="s">
        <v>883</v>
      </c>
      <c r="J304" s="5" t="s">
        <v>908</v>
      </c>
      <c r="K304" s="6" t="n">
        <f aca="false">SUMPRODUCT((Parti!$A$2:$A$3000=A304)*Parti!$C$2:$C$3000*Parti!$D$2:$D$3000*Parti!$E$2:$E$3000)</f>
        <v>0</v>
      </c>
      <c r="L304" s="6" t="n">
        <f aca="false">ROUND((K304*Legenda!$H$2/100+SUMPRODUCT((Parti!$A$2:$A$3000=A304)*Parti!$C$2:$C$3000*Parti!$D$2:$D$3000*(Parti!$F$2:$F$3000+Parti!$J$2:$J$3000)))/60,0)</f>
        <v>8</v>
      </c>
      <c r="M304" s="5"/>
      <c r="N304" s="5" t="s">
        <v>42</v>
      </c>
      <c r="O304" s="5" t="s">
        <v>43</v>
      </c>
    </row>
    <row r="305" customFormat="false" ht="15" hidden="false" customHeight="false" outlineLevel="0" collapsed="false">
      <c r="A305" s="5" t="s">
        <v>1017</v>
      </c>
      <c r="B305" s="5" t="s">
        <v>880</v>
      </c>
      <c r="C305" s="5" t="s">
        <v>1008</v>
      </c>
      <c r="D305" s="5" t="s">
        <v>88</v>
      </c>
      <c r="E305" s="5" t="s">
        <v>153</v>
      </c>
      <c r="F305" s="5" t="s">
        <v>1018</v>
      </c>
      <c r="G305" s="5" t="s">
        <v>1019</v>
      </c>
      <c r="H305" s="5"/>
      <c r="I305" s="5" t="s">
        <v>883</v>
      </c>
      <c r="J305" s="5" t="s">
        <v>908</v>
      </c>
      <c r="K305" s="6" t="n">
        <f aca="false">SUMPRODUCT((Parti!$A$2:$A$3000=A305)*Parti!$C$2:$C$3000*Parti!$D$2:$D$3000*Parti!$E$2:$E$3000)</f>
        <v>0</v>
      </c>
      <c r="L305" s="6" t="n">
        <f aca="false">ROUND((K305*Legenda!$H$2/100+SUMPRODUCT((Parti!$A$2:$A$3000=A305)*Parti!$C$2:$C$3000*Parti!$D$2:$D$3000*(Parti!$F$2:$F$3000+Parti!$J$2:$J$3000)))/60,0)</f>
        <v>8</v>
      </c>
      <c r="M305" s="5"/>
      <c r="N305" s="5" t="s">
        <v>42</v>
      </c>
      <c r="O305" s="5" t="s">
        <v>43</v>
      </c>
    </row>
    <row r="306" customFormat="false" ht="15" hidden="false" customHeight="false" outlineLevel="0" collapsed="false">
      <c r="A306" s="5" t="s">
        <v>1020</v>
      </c>
      <c r="B306" s="5" t="s">
        <v>880</v>
      </c>
      <c r="C306" s="5" t="s">
        <v>1008</v>
      </c>
      <c r="D306" s="5" t="s">
        <v>88</v>
      </c>
      <c r="E306" s="5" t="s">
        <v>153</v>
      </c>
      <c r="F306" s="5" t="s">
        <v>1021</v>
      </c>
      <c r="G306" s="5" t="s">
        <v>1022</v>
      </c>
      <c r="H306" s="5"/>
      <c r="I306" s="5" t="s">
        <v>907</v>
      </c>
      <c r="J306" s="5" t="s">
        <v>908</v>
      </c>
      <c r="K306" s="6" t="n">
        <f aca="false">SUMPRODUCT((Parti!$A$2:$A$3000=A306)*Parti!$C$2:$C$3000*Parti!$D$2:$D$3000*Parti!$E$2:$E$3000)</f>
        <v>0</v>
      </c>
      <c r="L306" s="6" t="n">
        <f aca="false">ROUND((K306*Legenda!$H$2/100+SUMPRODUCT((Parti!$A$2:$A$3000=A306)*Parti!$C$2:$C$3000*Parti!$D$2:$D$3000*(Parti!$F$2:$F$3000+Parti!$J$2:$J$3000)))/60,0)</f>
        <v>10</v>
      </c>
      <c r="M306" s="5"/>
      <c r="N306" s="5" t="s">
        <v>42</v>
      </c>
      <c r="O306" s="5" t="s">
        <v>43</v>
      </c>
    </row>
    <row r="307" customFormat="false" ht="15" hidden="false" customHeight="false" outlineLevel="0" collapsed="false">
      <c r="A307" s="5" t="s">
        <v>1023</v>
      </c>
      <c r="B307" s="5" t="s">
        <v>880</v>
      </c>
      <c r="C307" s="5" t="s">
        <v>1008</v>
      </c>
      <c r="D307" s="5" t="s">
        <v>88</v>
      </c>
      <c r="E307" s="5" t="s">
        <v>153</v>
      </c>
      <c r="F307" s="5" t="s">
        <v>1024</v>
      </c>
      <c r="G307" s="5" t="s">
        <v>1025</v>
      </c>
      <c r="H307" s="5"/>
      <c r="I307" s="5" t="s">
        <v>883</v>
      </c>
      <c r="J307" s="5" t="s">
        <v>908</v>
      </c>
      <c r="K307" s="6" t="n">
        <f aca="false">SUMPRODUCT((Parti!$A$2:$A$3000=A307)*Parti!$C$2:$C$3000*Parti!$D$2:$D$3000*Parti!$E$2:$E$3000)</f>
        <v>0</v>
      </c>
      <c r="L307" s="6" t="n">
        <f aca="false">ROUND((K307*Legenda!$H$2/100+SUMPRODUCT((Parti!$A$2:$A$3000=A307)*Parti!$C$2:$C$3000*Parti!$D$2:$D$3000*(Parti!$F$2:$F$3000+Parti!$J$2:$J$3000)))/60,0)</f>
        <v>8</v>
      </c>
      <c r="M307" s="5"/>
      <c r="N307" s="5" t="s">
        <v>42</v>
      </c>
      <c r="O307" s="5" t="s">
        <v>43</v>
      </c>
    </row>
    <row r="308" customFormat="false" ht="15" hidden="false" customHeight="false" outlineLevel="0" collapsed="false">
      <c r="A308" s="5" t="s">
        <v>1026</v>
      </c>
      <c r="B308" s="5" t="s">
        <v>880</v>
      </c>
      <c r="C308" s="5" t="s">
        <v>1008</v>
      </c>
      <c r="D308" s="5" t="s">
        <v>585</v>
      </c>
      <c r="E308" s="5" t="s">
        <v>586</v>
      </c>
      <c r="F308" s="5" t="s">
        <v>1027</v>
      </c>
      <c r="G308" s="5" t="s">
        <v>1028</v>
      </c>
      <c r="H308" s="5" t="s">
        <v>916</v>
      </c>
      <c r="I308" s="5" t="s">
        <v>907</v>
      </c>
      <c r="J308" s="5" t="s">
        <v>908</v>
      </c>
      <c r="K308" s="6" t="n">
        <f aca="false">SUMPRODUCT((Parti!$A$2:$A$3000=A308)*Parti!$C$2:$C$3000*Parti!$D$2:$D$3000*Parti!$E$2:$E$3000)</f>
        <v>150</v>
      </c>
      <c r="L308" s="6" t="n">
        <f aca="false">ROUND((K308*Legenda!$H$2/100+SUMPRODUCT((Parti!$A$2:$A$3000=A308)*Parti!$C$2:$C$3000*Parti!$D$2:$D$3000*(Parti!$F$2:$F$3000+Parti!$J$2:$J$3000)))/60,0)</f>
        <v>10</v>
      </c>
      <c r="M308" s="5"/>
      <c r="N308" s="5" t="s">
        <v>42</v>
      </c>
      <c r="O308" s="5" t="s">
        <v>43</v>
      </c>
    </row>
    <row r="309" customFormat="false" ht="15" hidden="false" customHeight="false" outlineLevel="0" collapsed="false">
      <c r="A309" s="5" t="s">
        <v>1029</v>
      </c>
      <c r="B309" s="5" t="s">
        <v>880</v>
      </c>
      <c r="C309" s="5" t="s">
        <v>1008</v>
      </c>
      <c r="D309" s="5" t="s">
        <v>88</v>
      </c>
      <c r="E309" s="5" t="s">
        <v>153</v>
      </c>
      <c r="F309" s="5" t="s">
        <v>1030</v>
      </c>
      <c r="G309" s="5" t="s">
        <v>1031</v>
      </c>
      <c r="H309" s="5"/>
      <c r="I309" s="5" t="s">
        <v>887</v>
      </c>
      <c r="J309" s="5" t="s">
        <v>908</v>
      </c>
      <c r="K309" s="6" t="n">
        <f aca="false">SUMPRODUCT((Parti!$A$2:$A$3000=A309)*Parti!$C$2:$C$3000*Parti!$D$2:$D$3000*Parti!$E$2:$E$3000)</f>
        <v>0</v>
      </c>
      <c r="L309" s="6" t="n">
        <f aca="false">ROUND((K309*Legenda!$H$2/100+SUMPRODUCT((Parti!$A$2:$A$3000=A309)*Parti!$C$2:$C$3000*Parti!$D$2:$D$3000*(Parti!$F$2:$F$3000+Parti!$J$2:$J$3000)))/60,0)</f>
        <v>8</v>
      </c>
      <c r="M309" s="5"/>
      <c r="N309" s="5" t="s">
        <v>42</v>
      </c>
      <c r="O309" s="5" t="s">
        <v>43</v>
      </c>
    </row>
    <row r="310" customFormat="false" ht="15" hidden="false" customHeight="false" outlineLevel="0" collapsed="false">
      <c r="A310" s="5" t="s">
        <v>1032</v>
      </c>
      <c r="B310" s="5" t="s">
        <v>880</v>
      </c>
      <c r="C310" s="5" t="s">
        <v>1008</v>
      </c>
      <c r="D310" s="5" t="s">
        <v>994</v>
      </c>
      <c r="E310" s="5" t="s">
        <v>995</v>
      </c>
      <c r="F310" s="5" t="s">
        <v>1033</v>
      </c>
      <c r="G310" s="5" t="s">
        <v>1034</v>
      </c>
      <c r="H310" s="5"/>
      <c r="I310" s="5" t="s">
        <v>883</v>
      </c>
      <c r="J310" s="5" t="s">
        <v>908</v>
      </c>
      <c r="K310" s="6" t="n">
        <f aca="false">SUMPRODUCT((Parti!$A$2:$A$3000=A310)*Parti!$C$2:$C$3000*Parti!$D$2:$D$3000*Parti!$E$2:$E$3000)</f>
        <v>0</v>
      </c>
      <c r="L310" s="6" t="n">
        <f aca="false">ROUND((K310*Legenda!$H$2/100+SUMPRODUCT((Parti!$A$2:$A$3000=A310)*Parti!$C$2:$C$3000*Parti!$D$2:$D$3000*(Parti!$F$2:$F$3000+Parti!$J$2:$J$3000)))/60,0)</f>
        <v>10</v>
      </c>
      <c r="M310" s="5"/>
      <c r="N310" s="5" t="s">
        <v>42</v>
      </c>
      <c r="O310" s="5" t="s">
        <v>43</v>
      </c>
    </row>
    <row r="311" customFormat="false" ht="15" hidden="false" customHeight="false" outlineLevel="0" collapsed="false">
      <c r="A311" s="5" t="s">
        <v>1035</v>
      </c>
      <c r="B311" s="5" t="s">
        <v>880</v>
      </c>
      <c r="C311" s="5" t="s">
        <v>1036</v>
      </c>
      <c r="D311" s="5" t="s">
        <v>394</v>
      </c>
      <c r="E311" s="5" t="s">
        <v>586</v>
      </c>
      <c r="F311" s="5" t="s">
        <v>1037</v>
      </c>
      <c r="G311" s="5" t="s">
        <v>1038</v>
      </c>
      <c r="H311" s="5"/>
      <c r="I311" s="5" t="s">
        <v>887</v>
      </c>
      <c r="J311" s="5"/>
      <c r="K311" s="6" t="n">
        <f aca="false">SUMPRODUCT((Parti!$A$2:$A$3000=A311)*Parti!$C$2:$C$3000*Parti!$D$2:$D$3000*Parti!$E$2:$E$3000)</f>
        <v>0</v>
      </c>
      <c r="L311" s="6" t="n">
        <f aca="false">ROUND((K311*Legenda!$H$2/100+SUMPRODUCT((Parti!$A$2:$A$3000=A311)*Parti!$C$2:$C$3000*Parti!$D$2:$D$3000*(Parti!$F$2:$F$3000+Parti!$J$2:$J$3000)))/60,0)</f>
        <v>6</v>
      </c>
      <c r="M311" s="5" t="s">
        <v>1039</v>
      </c>
      <c r="N311" s="5" t="s">
        <v>42</v>
      </c>
      <c r="O311" s="5" t="s">
        <v>43</v>
      </c>
    </row>
    <row r="312" customFormat="false" ht="15" hidden="false" customHeight="false" outlineLevel="0" collapsed="false">
      <c r="A312" s="5" t="s">
        <v>1040</v>
      </c>
      <c r="B312" s="5" t="s">
        <v>880</v>
      </c>
      <c r="C312" s="5" t="s">
        <v>1036</v>
      </c>
      <c r="D312" s="5" t="s">
        <v>98</v>
      </c>
      <c r="E312" s="5" t="s">
        <v>135</v>
      </c>
      <c r="F312" s="5" t="s">
        <v>1041</v>
      </c>
      <c r="G312" s="5" t="s">
        <v>1042</v>
      </c>
      <c r="H312" s="5"/>
      <c r="I312" s="5" t="s">
        <v>887</v>
      </c>
      <c r="J312" s="5"/>
      <c r="K312" s="6" t="n">
        <f aca="false">SUMPRODUCT((Parti!$A$2:$A$3000=A312)*Parti!$C$2:$C$3000*Parti!$D$2:$D$3000*Parti!$E$2:$E$3000)</f>
        <v>0</v>
      </c>
      <c r="L312" s="6" t="n">
        <f aca="false">ROUND((K312*Legenda!$H$2/100+SUMPRODUCT((Parti!$A$2:$A$3000=A312)*Parti!$C$2:$C$3000*Parti!$D$2:$D$3000*(Parti!$F$2:$F$3000+Parti!$J$2:$J$3000)))/60,0)</f>
        <v>6</v>
      </c>
      <c r="M312" s="5" t="s">
        <v>1039</v>
      </c>
      <c r="N312" s="5" t="s">
        <v>42</v>
      </c>
      <c r="O312" s="5" t="s">
        <v>43</v>
      </c>
    </row>
    <row r="313" customFormat="false" ht="15" hidden="false" customHeight="false" outlineLevel="0" collapsed="false">
      <c r="A313" s="5" t="s">
        <v>1043</v>
      </c>
      <c r="B313" s="5" t="s">
        <v>880</v>
      </c>
      <c r="C313" s="5" t="s">
        <v>1036</v>
      </c>
      <c r="D313" s="5" t="s">
        <v>88</v>
      </c>
      <c r="E313" s="5" t="s">
        <v>153</v>
      </c>
      <c r="F313" s="5" t="s">
        <v>1044</v>
      </c>
      <c r="G313" s="5" t="s">
        <v>1045</v>
      </c>
      <c r="H313" s="5"/>
      <c r="I313" s="5" t="s">
        <v>887</v>
      </c>
      <c r="J313" s="5" t="s">
        <v>908</v>
      </c>
      <c r="K313" s="6" t="n">
        <f aca="false">SUMPRODUCT((Parti!$A$2:$A$3000=A313)*Parti!$C$2:$C$3000*Parti!$D$2:$D$3000*Parti!$E$2:$E$3000)</f>
        <v>0</v>
      </c>
      <c r="L313" s="6" t="n">
        <f aca="false">ROUND((K313*Legenda!$H$2/100+SUMPRODUCT((Parti!$A$2:$A$3000=A313)*Parti!$C$2:$C$3000*Parti!$D$2:$D$3000*(Parti!$F$2:$F$3000+Parti!$J$2:$J$3000)))/60,0)</f>
        <v>10</v>
      </c>
      <c r="M313" s="5" t="s">
        <v>1039</v>
      </c>
      <c r="N313" s="5" t="s">
        <v>42</v>
      </c>
      <c r="O313" s="5" t="s">
        <v>43</v>
      </c>
    </row>
    <row r="314" customFormat="false" ht="15" hidden="false" customHeight="false" outlineLevel="0" collapsed="false">
      <c r="A314" s="5" t="s">
        <v>1046</v>
      </c>
      <c r="B314" s="5" t="s">
        <v>880</v>
      </c>
      <c r="C314" s="5" t="s">
        <v>1036</v>
      </c>
      <c r="D314" s="5" t="s">
        <v>98</v>
      </c>
      <c r="E314" s="5" t="s">
        <v>135</v>
      </c>
      <c r="F314" s="5" t="s">
        <v>1047</v>
      </c>
      <c r="G314" s="5" t="s">
        <v>1048</v>
      </c>
      <c r="H314" s="5"/>
      <c r="I314" s="5" t="s">
        <v>883</v>
      </c>
      <c r="J314" s="5" t="s">
        <v>908</v>
      </c>
      <c r="K314" s="6" t="n">
        <f aca="false">SUMPRODUCT((Parti!$A$2:$A$3000=A314)*Parti!$C$2:$C$3000*Parti!$D$2:$D$3000*Parti!$E$2:$E$3000)</f>
        <v>0</v>
      </c>
      <c r="L314" s="6" t="n">
        <f aca="false">ROUND((K314*Legenda!$H$2/100+SUMPRODUCT((Parti!$A$2:$A$3000=A314)*Parti!$C$2:$C$3000*Parti!$D$2:$D$3000*(Parti!$F$2:$F$3000+Parti!$J$2:$J$3000)))/60,0)</f>
        <v>8</v>
      </c>
      <c r="M314" s="5" t="s">
        <v>1039</v>
      </c>
      <c r="N314" s="5" t="s">
        <v>42</v>
      </c>
      <c r="O314" s="5" t="s">
        <v>43</v>
      </c>
    </row>
    <row r="315" customFormat="false" ht="15" hidden="false" customHeight="false" outlineLevel="0" collapsed="false">
      <c r="A315" s="5" t="s">
        <v>1049</v>
      </c>
      <c r="B315" s="5" t="s">
        <v>880</v>
      </c>
      <c r="C315" s="5" t="s">
        <v>1036</v>
      </c>
      <c r="D315" s="5" t="s">
        <v>88</v>
      </c>
      <c r="E315" s="5" t="s">
        <v>153</v>
      </c>
      <c r="F315" s="5" t="s">
        <v>1050</v>
      </c>
      <c r="G315" s="5" t="s">
        <v>1051</v>
      </c>
      <c r="H315" s="5"/>
      <c r="I315" s="5" t="s">
        <v>887</v>
      </c>
      <c r="J315" s="5" t="s">
        <v>891</v>
      </c>
      <c r="K315" s="6" t="n">
        <f aca="false">SUMPRODUCT((Parti!$A$2:$A$3000=A315)*Parti!$C$2:$C$3000*Parti!$D$2:$D$3000*Parti!$E$2:$E$3000)</f>
        <v>0</v>
      </c>
      <c r="L315" s="6" t="n">
        <f aca="false">ROUND((K315*Legenda!$H$2/100+SUMPRODUCT((Parti!$A$2:$A$3000=A315)*Parti!$C$2:$C$3000*Parti!$D$2:$D$3000*(Parti!$F$2:$F$3000+Parti!$J$2:$J$3000)))/60,0)</f>
        <v>8</v>
      </c>
      <c r="M315" s="5" t="s">
        <v>1039</v>
      </c>
      <c r="N315" s="5" t="s">
        <v>42</v>
      </c>
      <c r="O315" s="5" t="s">
        <v>43</v>
      </c>
    </row>
    <row r="316" customFormat="false" ht="15" hidden="false" customHeight="false" outlineLevel="0" collapsed="false">
      <c r="A316" s="5" t="s">
        <v>1052</v>
      </c>
      <c r="B316" s="5" t="s">
        <v>880</v>
      </c>
      <c r="C316" s="5" t="s">
        <v>1036</v>
      </c>
      <c r="D316" s="5" t="s">
        <v>994</v>
      </c>
      <c r="E316" s="5" t="s">
        <v>995</v>
      </c>
      <c r="F316" s="5" t="s">
        <v>1053</v>
      </c>
      <c r="G316" s="5" t="s">
        <v>1054</v>
      </c>
      <c r="H316" s="5"/>
      <c r="I316" s="5" t="s">
        <v>883</v>
      </c>
      <c r="J316" s="5" t="s">
        <v>908</v>
      </c>
      <c r="K316" s="6" t="n">
        <f aca="false">SUMPRODUCT((Parti!$A$2:$A$3000=A316)*Parti!$C$2:$C$3000*Parti!$D$2:$D$3000*Parti!$E$2:$E$3000)</f>
        <v>0</v>
      </c>
      <c r="L316" s="6" t="n">
        <f aca="false">ROUND((K316*Legenda!$H$2/100+SUMPRODUCT((Parti!$A$2:$A$3000=A316)*Parti!$C$2:$C$3000*Parti!$D$2:$D$3000*(Parti!$F$2:$F$3000+Parti!$J$2:$J$3000)))/60,0)</f>
        <v>8</v>
      </c>
      <c r="M316" s="5" t="s">
        <v>1039</v>
      </c>
      <c r="N316" s="5" t="s">
        <v>42</v>
      </c>
      <c r="O316" s="5" t="s">
        <v>43</v>
      </c>
    </row>
    <row r="317" customFormat="false" ht="15" hidden="false" customHeight="false" outlineLevel="0" collapsed="false">
      <c r="A317" s="5" t="s">
        <v>1055</v>
      </c>
      <c r="B317" s="5" t="s">
        <v>880</v>
      </c>
      <c r="C317" s="5" t="s">
        <v>1056</v>
      </c>
      <c r="D317" s="5" t="s">
        <v>994</v>
      </c>
      <c r="E317" s="5" t="s">
        <v>995</v>
      </c>
      <c r="F317" s="5" t="s">
        <v>1057</v>
      </c>
      <c r="G317" s="5" t="s">
        <v>1058</v>
      </c>
      <c r="H317" s="5"/>
      <c r="I317" s="5" t="s">
        <v>887</v>
      </c>
      <c r="J317" s="5" t="s">
        <v>891</v>
      </c>
      <c r="K317" s="6" t="n">
        <f aca="false">SUMPRODUCT((Parti!$A$2:$A$3000=A317)*Parti!$C$2:$C$3000*Parti!$D$2:$D$3000*Parti!$E$2:$E$3000)</f>
        <v>0</v>
      </c>
      <c r="L317" s="6" t="n">
        <f aca="false">ROUND((K317*Legenda!$H$2/100+SUMPRODUCT((Parti!$A$2:$A$3000=A317)*Parti!$C$2:$C$3000*Parti!$D$2:$D$3000*(Parti!$F$2:$F$3000+Parti!$J$2:$J$3000)))/60,0)</f>
        <v>10</v>
      </c>
      <c r="M317" s="5"/>
      <c r="N317" s="5" t="s">
        <v>42</v>
      </c>
      <c r="O317" s="5" t="s">
        <v>43</v>
      </c>
    </row>
    <row r="318" customFormat="false" ht="15" hidden="false" customHeight="false" outlineLevel="0" collapsed="false">
      <c r="A318" s="5" t="s">
        <v>1059</v>
      </c>
      <c r="B318" s="5" t="s">
        <v>880</v>
      </c>
      <c r="C318" s="5" t="s">
        <v>1056</v>
      </c>
      <c r="D318" s="5" t="s">
        <v>994</v>
      </c>
      <c r="E318" s="5" t="s">
        <v>995</v>
      </c>
      <c r="F318" s="5" t="s">
        <v>1060</v>
      </c>
      <c r="G318" s="5" t="s">
        <v>1061</v>
      </c>
      <c r="H318" s="5"/>
      <c r="I318" s="5" t="s">
        <v>883</v>
      </c>
      <c r="J318" s="5" t="s">
        <v>908</v>
      </c>
      <c r="K318" s="6" t="n">
        <f aca="false">SUMPRODUCT((Parti!$A$2:$A$3000=A318)*Parti!$C$2:$C$3000*Parti!$D$2:$D$3000*Parti!$E$2:$E$3000)</f>
        <v>0</v>
      </c>
      <c r="L318" s="6" t="n">
        <f aca="false">ROUND((K318*Legenda!$H$2/100+SUMPRODUCT((Parti!$A$2:$A$3000=A318)*Parti!$C$2:$C$3000*Parti!$D$2:$D$3000*(Parti!$F$2:$F$3000+Parti!$J$2:$J$3000)))/60,0)</f>
        <v>10</v>
      </c>
      <c r="M318" s="5"/>
      <c r="N318" s="5" t="s">
        <v>42</v>
      </c>
      <c r="O318" s="5" t="s">
        <v>43</v>
      </c>
    </row>
    <row r="319" customFormat="false" ht="15" hidden="false" customHeight="false" outlineLevel="0" collapsed="false">
      <c r="A319" s="5" t="s">
        <v>1062</v>
      </c>
      <c r="B319" s="5" t="s">
        <v>880</v>
      </c>
      <c r="C319" s="5" t="s">
        <v>1056</v>
      </c>
      <c r="D319" s="5" t="s">
        <v>994</v>
      </c>
      <c r="E319" s="5" t="s">
        <v>995</v>
      </c>
      <c r="F319" s="5" t="s">
        <v>1063</v>
      </c>
      <c r="G319" s="5" t="s">
        <v>1064</v>
      </c>
      <c r="H319" s="5"/>
      <c r="I319" s="5" t="s">
        <v>907</v>
      </c>
      <c r="J319" s="5" t="s">
        <v>908</v>
      </c>
      <c r="K319" s="6" t="n">
        <f aca="false">SUMPRODUCT((Parti!$A$2:$A$3000=A319)*Parti!$C$2:$C$3000*Parti!$D$2:$D$3000*Parti!$E$2:$E$3000)</f>
        <v>0</v>
      </c>
      <c r="L319" s="6" t="n">
        <f aca="false">ROUND((K319*Legenda!$H$2/100+SUMPRODUCT((Parti!$A$2:$A$3000=A319)*Parti!$C$2:$C$3000*Parti!$D$2:$D$3000*(Parti!$F$2:$F$3000+Parti!$J$2:$J$3000)))/60,0)</f>
        <v>10</v>
      </c>
      <c r="M319" s="5"/>
      <c r="N319" s="5" t="s">
        <v>42</v>
      </c>
      <c r="O319" s="5" t="s">
        <v>43</v>
      </c>
    </row>
    <row r="320" customFormat="false" ht="15" hidden="false" customHeight="false" outlineLevel="0" collapsed="false">
      <c r="A320" s="5" t="s">
        <v>1065</v>
      </c>
      <c r="B320" s="5" t="s">
        <v>880</v>
      </c>
      <c r="C320" s="5" t="s">
        <v>1056</v>
      </c>
      <c r="D320" s="5" t="s">
        <v>98</v>
      </c>
      <c r="E320" s="5" t="s">
        <v>135</v>
      </c>
      <c r="F320" s="5" t="s">
        <v>1066</v>
      </c>
      <c r="G320" s="5" t="s">
        <v>1067</v>
      </c>
      <c r="H320" s="5" t="s">
        <v>916</v>
      </c>
      <c r="I320" s="5" t="s">
        <v>883</v>
      </c>
      <c r="J320" s="5"/>
      <c r="K320" s="6" t="n">
        <f aca="false">SUMPRODUCT((Parti!$A$2:$A$3000=A320)*Parti!$C$2:$C$3000*Parti!$D$2:$D$3000*Parti!$E$2:$E$3000)</f>
        <v>200</v>
      </c>
      <c r="L320" s="6" t="n">
        <f aca="false">ROUND((K320*Legenda!$H$2/100+SUMPRODUCT((Parti!$A$2:$A$3000=A320)*Parti!$C$2:$C$3000*Parti!$D$2:$D$3000*(Parti!$F$2:$F$3000+Parti!$J$2:$J$3000)))/60,0)</f>
        <v>9</v>
      </c>
      <c r="M320" s="5"/>
      <c r="N320" s="5" t="s">
        <v>42</v>
      </c>
      <c r="O320" s="5" t="s">
        <v>43</v>
      </c>
    </row>
    <row r="321" customFormat="false" ht="15" hidden="false" customHeight="false" outlineLevel="0" collapsed="false">
      <c r="A321" s="5" t="s">
        <v>1068</v>
      </c>
      <c r="B321" s="5" t="s">
        <v>880</v>
      </c>
      <c r="C321" s="5" t="s">
        <v>1056</v>
      </c>
      <c r="D321" s="5" t="s">
        <v>994</v>
      </c>
      <c r="E321" s="5" t="s">
        <v>995</v>
      </c>
      <c r="F321" s="5" t="s">
        <v>1069</v>
      </c>
      <c r="G321" s="5" t="s">
        <v>1070</v>
      </c>
      <c r="H321" s="5"/>
      <c r="I321" s="5" t="s">
        <v>907</v>
      </c>
      <c r="J321" s="5" t="s">
        <v>908</v>
      </c>
      <c r="K321" s="6" t="n">
        <f aca="false">SUMPRODUCT((Parti!$A$2:$A$3000=A321)*Parti!$C$2:$C$3000*Parti!$D$2:$D$3000*Parti!$E$2:$E$3000)</f>
        <v>0</v>
      </c>
      <c r="L321" s="6" t="n">
        <f aca="false">ROUND((K321*Legenda!$H$2/100+SUMPRODUCT((Parti!$A$2:$A$3000=A321)*Parti!$C$2:$C$3000*Parti!$D$2:$D$3000*(Parti!$F$2:$F$3000+Parti!$J$2:$J$3000)))/60,0)</f>
        <v>10</v>
      </c>
      <c r="M321" s="5"/>
      <c r="N321" s="5" t="s">
        <v>42</v>
      </c>
      <c r="O321" s="5" t="s">
        <v>43</v>
      </c>
    </row>
    <row r="322" customFormat="false" ht="15" hidden="false" customHeight="false" outlineLevel="0" collapsed="false">
      <c r="A322" s="5" t="s">
        <v>1071</v>
      </c>
      <c r="B322" s="5" t="s">
        <v>880</v>
      </c>
      <c r="C322" s="5" t="s">
        <v>1072</v>
      </c>
      <c r="D322" s="5" t="s">
        <v>994</v>
      </c>
      <c r="E322" s="5" t="s">
        <v>995</v>
      </c>
      <c r="F322" s="5" t="s">
        <v>1073</v>
      </c>
      <c r="G322" s="5" t="s">
        <v>1074</v>
      </c>
      <c r="H322" s="5"/>
      <c r="I322" s="5" t="s">
        <v>883</v>
      </c>
      <c r="J322" s="5" t="s">
        <v>908</v>
      </c>
      <c r="K322" s="6" t="n">
        <f aca="false">SUMPRODUCT((Parti!$A$2:$A$3000=A322)*Parti!$C$2:$C$3000*Parti!$D$2:$D$3000*Parti!$E$2:$E$3000)</f>
        <v>0</v>
      </c>
      <c r="L322" s="6" t="n">
        <f aca="false">ROUND((K322*Legenda!$H$2/100+SUMPRODUCT((Parti!$A$2:$A$3000=A322)*Parti!$C$2:$C$3000*Parti!$D$2:$D$3000*(Parti!$F$2:$F$3000+Parti!$J$2:$J$3000)))/60,0)</f>
        <v>10</v>
      </c>
      <c r="M322" s="5"/>
      <c r="N322" s="5" t="s">
        <v>42</v>
      </c>
      <c r="O322" s="5" t="s">
        <v>43</v>
      </c>
    </row>
    <row r="323" customFormat="false" ht="15" hidden="false" customHeight="false" outlineLevel="0" collapsed="false">
      <c r="A323" s="5" t="s">
        <v>1075</v>
      </c>
      <c r="B323" s="5" t="s">
        <v>880</v>
      </c>
      <c r="C323" s="5" t="s">
        <v>1072</v>
      </c>
      <c r="D323" s="5" t="s">
        <v>994</v>
      </c>
      <c r="E323" s="5" t="s">
        <v>995</v>
      </c>
      <c r="F323" s="5" t="s">
        <v>1076</v>
      </c>
      <c r="G323" s="5" t="s">
        <v>1077</v>
      </c>
      <c r="H323" s="5"/>
      <c r="I323" s="5" t="s">
        <v>907</v>
      </c>
      <c r="J323" s="5" t="s">
        <v>908</v>
      </c>
      <c r="K323" s="6" t="n">
        <f aca="false">SUMPRODUCT((Parti!$A$2:$A$3000=A323)*Parti!$C$2:$C$3000*Parti!$D$2:$D$3000*Parti!$E$2:$E$3000)</f>
        <v>0</v>
      </c>
      <c r="L323" s="6" t="n">
        <f aca="false">ROUND((K323*Legenda!$H$2/100+SUMPRODUCT((Parti!$A$2:$A$3000=A323)*Parti!$C$2:$C$3000*Parti!$D$2:$D$3000*(Parti!$F$2:$F$3000+Parti!$J$2:$J$3000)))/60,0)</f>
        <v>10</v>
      </c>
      <c r="M323" s="5"/>
      <c r="N323" s="5" t="s">
        <v>42</v>
      </c>
      <c r="O323" s="5" t="s">
        <v>43</v>
      </c>
    </row>
    <row r="324" customFormat="false" ht="15" hidden="false" customHeight="false" outlineLevel="0" collapsed="false">
      <c r="A324" s="5" t="s">
        <v>1078</v>
      </c>
      <c r="B324" s="5" t="s">
        <v>880</v>
      </c>
      <c r="C324" s="5" t="s">
        <v>1072</v>
      </c>
      <c r="D324" s="5" t="s">
        <v>88</v>
      </c>
      <c r="E324" s="5" t="s">
        <v>586</v>
      </c>
      <c r="F324" s="5" t="s">
        <v>1079</v>
      </c>
      <c r="G324" s="5" t="s">
        <v>1080</v>
      </c>
      <c r="H324" s="5"/>
      <c r="I324" s="5" t="s">
        <v>883</v>
      </c>
      <c r="J324" s="5"/>
      <c r="K324" s="6" t="n">
        <f aca="false">SUMPRODUCT((Parti!$A$2:$A$3000=A324)*Parti!$C$2:$C$3000*Parti!$D$2:$D$3000*Parti!$E$2:$E$3000)</f>
        <v>0</v>
      </c>
      <c r="L324" s="6" t="n">
        <f aca="false">ROUND((K324*Legenda!$H$2/100+SUMPRODUCT((Parti!$A$2:$A$3000=A324)*Parti!$C$2:$C$3000*Parti!$D$2:$D$3000*(Parti!$F$2:$F$3000+Parti!$J$2:$J$3000)))/60,0)</f>
        <v>6</v>
      </c>
      <c r="M324" s="5"/>
      <c r="N324" s="5" t="s">
        <v>42</v>
      </c>
      <c r="O324" s="5" t="s">
        <v>43</v>
      </c>
    </row>
    <row r="325" customFormat="false" ht="15" hidden="false" customHeight="false" outlineLevel="0" collapsed="false">
      <c r="A325" s="5" t="s">
        <v>1081</v>
      </c>
      <c r="B325" s="5" t="s">
        <v>880</v>
      </c>
      <c r="C325" s="5" t="s">
        <v>1072</v>
      </c>
      <c r="D325" s="5" t="s">
        <v>994</v>
      </c>
      <c r="E325" s="5" t="s">
        <v>995</v>
      </c>
      <c r="F325" s="5" t="s">
        <v>1082</v>
      </c>
      <c r="G325" s="5" t="s">
        <v>1083</v>
      </c>
      <c r="H325" s="5"/>
      <c r="I325" s="5" t="s">
        <v>907</v>
      </c>
      <c r="J325" s="5" t="s">
        <v>908</v>
      </c>
      <c r="K325" s="6" t="n">
        <f aca="false">SUMPRODUCT((Parti!$A$2:$A$3000=A325)*Parti!$C$2:$C$3000*Parti!$D$2:$D$3000*Parti!$E$2:$E$3000)</f>
        <v>0</v>
      </c>
      <c r="L325" s="6" t="n">
        <f aca="false">ROUND((K325*Legenda!$H$2/100+SUMPRODUCT((Parti!$A$2:$A$3000=A325)*Parti!$C$2:$C$3000*Parti!$D$2:$D$3000*(Parti!$F$2:$F$3000+Parti!$J$2:$J$3000)))/60,0)</f>
        <v>10</v>
      </c>
      <c r="M325" s="5"/>
      <c r="N325" s="5" t="s">
        <v>42</v>
      </c>
      <c r="O325" s="5" t="s">
        <v>43</v>
      </c>
    </row>
    <row r="326" customFormat="false" ht="15" hidden="false" customHeight="false" outlineLevel="0" collapsed="false">
      <c r="A326" s="5" t="s">
        <v>1084</v>
      </c>
      <c r="B326" s="5" t="s">
        <v>880</v>
      </c>
      <c r="C326" s="5" t="s">
        <v>1072</v>
      </c>
      <c r="D326" s="5" t="s">
        <v>994</v>
      </c>
      <c r="E326" s="5" t="s">
        <v>995</v>
      </c>
      <c r="F326" s="5" t="s">
        <v>1085</v>
      </c>
      <c r="G326" s="5" t="s">
        <v>1086</v>
      </c>
      <c r="H326" s="5"/>
      <c r="I326" s="5" t="s">
        <v>907</v>
      </c>
      <c r="J326" s="5" t="s">
        <v>908</v>
      </c>
      <c r="K326" s="6" t="n">
        <f aca="false">SUMPRODUCT((Parti!$A$2:$A$3000=A326)*Parti!$C$2:$C$3000*Parti!$D$2:$D$3000*Parti!$E$2:$E$3000)</f>
        <v>0</v>
      </c>
      <c r="L326" s="6" t="n">
        <f aca="false">ROUND((K326*Legenda!$H$2/100+SUMPRODUCT((Parti!$A$2:$A$3000=A326)*Parti!$C$2:$C$3000*Parti!$D$2:$D$3000*(Parti!$F$2:$F$3000+Parti!$J$2:$J$3000)))/60,0)</f>
        <v>10</v>
      </c>
      <c r="M326" s="5"/>
      <c r="N326" s="5" t="s">
        <v>42</v>
      </c>
      <c r="O326" s="5" t="s">
        <v>43</v>
      </c>
    </row>
    <row r="327" customFormat="false" ht="15" hidden="false" customHeight="false" outlineLevel="0" collapsed="false">
      <c r="A327" s="5" t="s">
        <v>1087</v>
      </c>
      <c r="B327" s="5" t="s">
        <v>880</v>
      </c>
      <c r="C327" s="5" t="s">
        <v>1072</v>
      </c>
      <c r="D327" s="5" t="s">
        <v>994</v>
      </c>
      <c r="E327" s="5" t="s">
        <v>995</v>
      </c>
      <c r="F327" s="5" t="s">
        <v>1088</v>
      </c>
      <c r="G327" s="5" t="s">
        <v>1089</v>
      </c>
      <c r="H327" s="5"/>
      <c r="I327" s="5" t="s">
        <v>887</v>
      </c>
      <c r="J327" s="5" t="s">
        <v>908</v>
      </c>
      <c r="K327" s="6" t="n">
        <f aca="false">SUMPRODUCT((Parti!$A$2:$A$3000=A327)*Parti!$C$2:$C$3000*Parti!$D$2:$D$3000*Parti!$E$2:$E$3000)</f>
        <v>0</v>
      </c>
      <c r="L327" s="6" t="n">
        <f aca="false">ROUND((K327*Legenda!$H$2/100+SUMPRODUCT((Parti!$A$2:$A$3000=A327)*Parti!$C$2:$C$3000*Parti!$D$2:$D$3000*(Parti!$F$2:$F$3000+Parti!$J$2:$J$3000)))/60,0)</f>
        <v>10</v>
      </c>
      <c r="M327" s="5"/>
      <c r="N327" s="5" t="s">
        <v>42</v>
      </c>
      <c r="O327" s="5" t="s">
        <v>43</v>
      </c>
    </row>
    <row r="328" customFormat="false" ht="15" hidden="false" customHeight="false" outlineLevel="0" collapsed="false">
      <c r="A328" s="5" t="s">
        <v>1090</v>
      </c>
      <c r="B328" s="5" t="s">
        <v>880</v>
      </c>
      <c r="C328" s="5" t="s">
        <v>1072</v>
      </c>
      <c r="D328" s="5" t="s">
        <v>994</v>
      </c>
      <c r="E328" s="5" t="s">
        <v>995</v>
      </c>
      <c r="F328" s="5" t="s">
        <v>1091</v>
      </c>
      <c r="G328" s="5" t="s">
        <v>1092</v>
      </c>
      <c r="H328" s="5"/>
      <c r="I328" s="5" t="s">
        <v>883</v>
      </c>
      <c r="J328" s="5" t="s">
        <v>908</v>
      </c>
      <c r="K328" s="6" t="n">
        <f aca="false">SUMPRODUCT((Parti!$A$2:$A$3000=A328)*Parti!$C$2:$C$3000*Parti!$D$2:$D$3000*Parti!$E$2:$E$3000)</f>
        <v>0</v>
      </c>
      <c r="L328" s="6" t="n">
        <f aca="false">ROUND((K328*Legenda!$H$2/100+SUMPRODUCT((Parti!$A$2:$A$3000=A328)*Parti!$C$2:$C$3000*Parti!$D$2:$D$3000*(Parti!$F$2:$F$3000+Parti!$J$2:$J$3000)))/60,0)</f>
        <v>10</v>
      </c>
      <c r="M328" s="5"/>
      <c r="N328" s="5" t="s">
        <v>42</v>
      </c>
      <c r="O328" s="5" t="s">
        <v>43</v>
      </c>
    </row>
    <row r="329" customFormat="false" ht="15" hidden="false" customHeight="false" outlineLevel="0" collapsed="false">
      <c r="A329" s="5" t="s">
        <v>1093</v>
      </c>
      <c r="B329" s="5" t="s">
        <v>880</v>
      </c>
      <c r="C329" s="5" t="s">
        <v>1094</v>
      </c>
      <c r="D329" s="5" t="s">
        <v>994</v>
      </c>
      <c r="E329" s="5" t="s">
        <v>995</v>
      </c>
      <c r="F329" s="5" t="s">
        <v>1095</v>
      </c>
      <c r="G329" s="5" t="s">
        <v>1096</v>
      </c>
      <c r="H329" s="5"/>
      <c r="I329" s="5" t="s">
        <v>887</v>
      </c>
      <c r="J329" s="5" t="s">
        <v>908</v>
      </c>
      <c r="K329" s="6" t="n">
        <f aca="false">SUMPRODUCT((Parti!$A$2:$A$3000=A329)*Parti!$C$2:$C$3000*Parti!$D$2:$D$3000*Parti!$E$2:$E$3000)</f>
        <v>0</v>
      </c>
      <c r="L329" s="6" t="n">
        <f aca="false">ROUND((K329*Legenda!$H$2/100+SUMPRODUCT((Parti!$A$2:$A$3000=A329)*Parti!$C$2:$C$3000*Parti!$D$2:$D$3000*(Parti!$F$2:$F$3000+Parti!$J$2:$J$3000)))/60,0)</f>
        <v>15</v>
      </c>
      <c r="M329" s="5"/>
      <c r="N329" s="5" t="s">
        <v>42</v>
      </c>
      <c r="O329" s="5" t="s">
        <v>43</v>
      </c>
    </row>
    <row r="330" customFormat="false" ht="15" hidden="false" customHeight="false" outlineLevel="0" collapsed="false">
      <c r="A330" s="5" t="s">
        <v>1097</v>
      </c>
      <c r="B330" s="5" t="s">
        <v>880</v>
      </c>
      <c r="C330" s="5" t="s">
        <v>1094</v>
      </c>
      <c r="D330" s="5" t="s">
        <v>994</v>
      </c>
      <c r="E330" s="5" t="s">
        <v>995</v>
      </c>
      <c r="F330" s="5" t="s">
        <v>1098</v>
      </c>
      <c r="G330" s="5" t="s">
        <v>1099</v>
      </c>
      <c r="H330" s="5"/>
      <c r="I330" s="5" t="s">
        <v>883</v>
      </c>
      <c r="J330" s="5" t="s">
        <v>908</v>
      </c>
      <c r="K330" s="6" t="n">
        <f aca="false">SUMPRODUCT((Parti!$A$2:$A$3000=A330)*Parti!$C$2:$C$3000*Parti!$D$2:$D$3000*Parti!$E$2:$E$3000)</f>
        <v>0</v>
      </c>
      <c r="L330" s="6" t="n">
        <f aca="false">ROUND((K330*Legenda!$H$2/100+SUMPRODUCT((Parti!$A$2:$A$3000=A330)*Parti!$C$2:$C$3000*Parti!$D$2:$D$3000*(Parti!$F$2:$F$3000+Parti!$J$2:$J$3000)))/60,0)</f>
        <v>15</v>
      </c>
      <c r="M330" s="5"/>
      <c r="N330" s="5" t="s">
        <v>42</v>
      </c>
      <c r="O330" s="5" t="s">
        <v>43</v>
      </c>
    </row>
    <row r="331" customFormat="false" ht="15" hidden="false" customHeight="false" outlineLevel="0" collapsed="false">
      <c r="A331" s="5" t="s">
        <v>1100</v>
      </c>
      <c r="B331" s="5" t="s">
        <v>880</v>
      </c>
      <c r="C331" s="5" t="s">
        <v>1094</v>
      </c>
      <c r="D331" s="5" t="s">
        <v>994</v>
      </c>
      <c r="E331" s="5" t="s">
        <v>995</v>
      </c>
      <c r="F331" s="5" t="s">
        <v>1101</v>
      </c>
      <c r="G331" s="5" t="s">
        <v>1102</v>
      </c>
      <c r="H331" s="5"/>
      <c r="I331" s="5" t="s">
        <v>883</v>
      </c>
      <c r="J331" s="5" t="s">
        <v>908</v>
      </c>
      <c r="K331" s="6" t="n">
        <f aca="false">SUMPRODUCT((Parti!$A$2:$A$3000=A331)*Parti!$C$2:$C$3000*Parti!$D$2:$D$3000*Parti!$E$2:$E$3000)</f>
        <v>0</v>
      </c>
      <c r="L331" s="6" t="n">
        <f aca="false">ROUND((K331*Legenda!$H$2/100+SUMPRODUCT((Parti!$A$2:$A$3000=A331)*Parti!$C$2:$C$3000*Parti!$D$2:$D$3000*(Parti!$F$2:$F$3000+Parti!$J$2:$J$3000)))/60,0)</f>
        <v>15</v>
      </c>
      <c r="M331" s="5"/>
      <c r="N331" s="5" t="s">
        <v>42</v>
      </c>
      <c r="O331" s="5" t="s">
        <v>43</v>
      </c>
    </row>
    <row r="332" customFormat="false" ht="15" hidden="false" customHeight="false" outlineLevel="0" collapsed="false">
      <c r="A332" s="5" t="s">
        <v>1103</v>
      </c>
      <c r="B332" s="5" t="s">
        <v>880</v>
      </c>
      <c r="C332" s="5" t="s">
        <v>1094</v>
      </c>
      <c r="D332" s="5" t="s">
        <v>994</v>
      </c>
      <c r="E332" s="5" t="s">
        <v>995</v>
      </c>
      <c r="F332" s="5" t="s">
        <v>1104</v>
      </c>
      <c r="G332" s="5" t="s">
        <v>1105</v>
      </c>
      <c r="H332" s="5"/>
      <c r="I332" s="5" t="s">
        <v>883</v>
      </c>
      <c r="J332" s="5" t="s">
        <v>908</v>
      </c>
      <c r="K332" s="6" t="n">
        <f aca="false">SUMPRODUCT((Parti!$A$2:$A$3000=A332)*Parti!$C$2:$C$3000*Parti!$D$2:$D$3000*Parti!$E$2:$E$3000)</f>
        <v>0</v>
      </c>
      <c r="L332" s="6" t="n">
        <f aca="false">ROUND((K332*Legenda!$H$2/100+SUMPRODUCT((Parti!$A$2:$A$3000=A332)*Parti!$C$2:$C$3000*Parti!$D$2:$D$3000*(Parti!$F$2:$F$3000+Parti!$J$2:$J$3000)))/60,0)</f>
        <v>15</v>
      </c>
      <c r="M332" s="5"/>
      <c r="N332" s="5" t="s">
        <v>42</v>
      </c>
      <c r="O332" s="5" t="s">
        <v>43</v>
      </c>
    </row>
    <row r="333" customFormat="false" ht="15" hidden="false" customHeight="false" outlineLevel="0" collapsed="false">
      <c r="A333" s="5" t="s">
        <v>1106</v>
      </c>
      <c r="B333" s="5" t="s">
        <v>880</v>
      </c>
      <c r="C333" s="5" t="s">
        <v>1094</v>
      </c>
      <c r="D333" s="5" t="s">
        <v>994</v>
      </c>
      <c r="E333" s="5" t="s">
        <v>995</v>
      </c>
      <c r="F333" s="5" t="s">
        <v>1107</v>
      </c>
      <c r="G333" s="5" t="s">
        <v>1108</v>
      </c>
      <c r="H333" s="5"/>
      <c r="I333" s="5" t="s">
        <v>907</v>
      </c>
      <c r="J333" s="5" t="s">
        <v>908</v>
      </c>
      <c r="K333" s="6" t="n">
        <f aca="false">SUMPRODUCT((Parti!$A$2:$A$3000=A333)*Parti!$C$2:$C$3000*Parti!$D$2:$D$3000*Parti!$E$2:$E$3000)</f>
        <v>0</v>
      </c>
      <c r="L333" s="6" t="n">
        <f aca="false">ROUND((K333*Legenda!$H$2/100+SUMPRODUCT((Parti!$A$2:$A$3000=A333)*Parti!$C$2:$C$3000*Parti!$D$2:$D$3000*(Parti!$F$2:$F$3000+Parti!$J$2:$J$3000)))/60,0)</f>
        <v>32</v>
      </c>
      <c r="M333" s="5"/>
      <c r="N333" s="5" t="s">
        <v>42</v>
      </c>
      <c r="O333" s="5" t="s">
        <v>43</v>
      </c>
    </row>
    <row r="334" customFormat="false" ht="15" hidden="false" customHeight="false" outlineLevel="0" collapsed="false">
      <c r="A334" s="5" t="s">
        <v>1109</v>
      </c>
      <c r="B334" s="5" t="s">
        <v>880</v>
      </c>
      <c r="C334" s="5" t="s">
        <v>1094</v>
      </c>
      <c r="D334" s="5" t="s">
        <v>994</v>
      </c>
      <c r="E334" s="5" t="s">
        <v>995</v>
      </c>
      <c r="F334" s="5" t="s">
        <v>1110</v>
      </c>
      <c r="G334" s="5" t="s">
        <v>1111</v>
      </c>
      <c r="H334" s="5"/>
      <c r="I334" s="5" t="s">
        <v>899</v>
      </c>
      <c r="J334" s="5" t="s">
        <v>908</v>
      </c>
      <c r="K334" s="6" t="n">
        <f aca="false">SUMPRODUCT((Parti!$A$2:$A$3000=A334)*Parti!$C$2:$C$3000*Parti!$D$2:$D$3000*Parti!$E$2:$E$3000)</f>
        <v>0</v>
      </c>
      <c r="L334" s="6" t="n">
        <f aca="false">ROUND((K334*Legenda!$H$2/100+SUMPRODUCT((Parti!$A$2:$A$3000=A334)*Parti!$C$2:$C$3000*Parti!$D$2:$D$3000*(Parti!$F$2:$F$3000+Parti!$J$2:$J$3000)))/60,0)</f>
        <v>20</v>
      </c>
      <c r="M334" s="5"/>
      <c r="N334" s="5" t="s">
        <v>42</v>
      </c>
      <c r="O334" s="5" t="s">
        <v>43</v>
      </c>
    </row>
    <row r="335" customFormat="false" ht="15" hidden="false" customHeight="false" outlineLevel="0" collapsed="false">
      <c r="A335" s="5" t="s">
        <v>1112</v>
      </c>
      <c r="B335" s="5" t="s">
        <v>880</v>
      </c>
      <c r="C335" s="5" t="s">
        <v>1113</v>
      </c>
      <c r="D335" s="5" t="s">
        <v>98</v>
      </c>
      <c r="E335" s="5" t="s">
        <v>135</v>
      </c>
      <c r="F335" s="5" t="s">
        <v>1114</v>
      </c>
      <c r="G335" s="5" t="s">
        <v>1115</v>
      </c>
      <c r="H335" s="5" t="s">
        <v>916</v>
      </c>
      <c r="I335" s="5" t="s">
        <v>883</v>
      </c>
      <c r="J335" s="5"/>
      <c r="K335" s="6" t="n">
        <f aca="false">SUMPRODUCT((Parti!$A$2:$A$3000=A335)*Parti!$C$2:$C$3000*Parti!$D$2:$D$3000*Parti!$E$2:$E$3000)</f>
        <v>150</v>
      </c>
      <c r="L335" s="6" t="n">
        <f aca="false">ROUND((K335*Legenda!$H$2/100+SUMPRODUCT((Parti!$A$2:$A$3000=A335)*Parti!$C$2:$C$3000*Parti!$D$2:$D$3000*(Parti!$F$2:$F$3000+Parti!$J$2:$J$3000)))/60,0)</f>
        <v>8</v>
      </c>
      <c r="M335" s="5"/>
      <c r="N335" s="5" t="s">
        <v>42</v>
      </c>
      <c r="O335" s="5" t="s">
        <v>43</v>
      </c>
    </row>
    <row r="336" customFormat="false" ht="15" hidden="false" customHeight="false" outlineLevel="0" collapsed="false">
      <c r="A336" s="5" t="s">
        <v>1116</v>
      </c>
      <c r="B336" s="5" t="s">
        <v>880</v>
      </c>
      <c r="C336" s="5" t="s">
        <v>1113</v>
      </c>
      <c r="D336" s="5" t="s">
        <v>542</v>
      </c>
      <c r="E336" s="5" t="s">
        <v>139</v>
      </c>
      <c r="F336" s="5" t="s">
        <v>1117</v>
      </c>
      <c r="G336" s="5" t="s">
        <v>1118</v>
      </c>
      <c r="H336" s="5"/>
      <c r="I336" s="5" t="s">
        <v>907</v>
      </c>
      <c r="J336" s="5" t="s">
        <v>1119</v>
      </c>
      <c r="K336" s="6" t="n">
        <f aca="false">SUMPRODUCT((Parti!$A$2:$A$3000=A336)*Parti!$C$2:$C$3000*Parti!$D$2:$D$3000*Parti!$E$2:$E$3000)</f>
        <v>0</v>
      </c>
      <c r="L336" s="6" t="n">
        <f aca="false">ROUND((K336*Legenda!$H$2/100+SUMPRODUCT((Parti!$A$2:$A$3000=A336)*Parti!$C$2:$C$3000*Parti!$D$2:$D$3000*(Parti!$F$2:$F$3000+Parti!$J$2:$J$3000)))/60,0)</f>
        <v>8</v>
      </c>
      <c r="M336" s="5"/>
      <c r="N336" s="5" t="s">
        <v>42</v>
      </c>
      <c r="O336" s="5" t="s">
        <v>43</v>
      </c>
    </row>
    <row r="337" customFormat="false" ht="15" hidden="false" customHeight="false" outlineLevel="0" collapsed="false">
      <c r="A337" s="5" t="s">
        <v>1120</v>
      </c>
      <c r="B337" s="5" t="s">
        <v>880</v>
      </c>
      <c r="C337" s="5" t="s">
        <v>1113</v>
      </c>
      <c r="D337" s="5" t="s">
        <v>348</v>
      </c>
      <c r="E337" s="5" t="s">
        <v>108</v>
      </c>
      <c r="F337" s="5" t="s">
        <v>1121</v>
      </c>
      <c r="G337" s="5" t="s">
        <v>1122</v>
      </c>
      <c r="H337" s="5" t="s">
        <v>916</v>
      </c>
      <c r="I337" s="5" t="s">
        <v>907</v>
      </c>
      <c r="J337" s="5"/>
      <c r="K337" s="6" t="n">
        <f aca="false">SUMPRODUCT((Parti!$A$2:$A$3000=A337)*Parti!$C$2:$C$3000*Parti!$D$2:$D$3000*Parti!$E$2:$E$3000)</f>
        <v>800</v>
      </c>
      <c r="L337" s="6" t="n">
        <f aca="false">ROUND((K337*Legenda!$H$2/100+SUMPRODUCT((Parti!$A$2:$A$3000=A337)*Parti!$C$2:$C$3000*Parti!$D$2:$D$3000*(Parti!$F$2:$F$3000+Parti!$J$2:$J$3000)))/60,0)</f>
        <v>17</v>
      </c>
      <c r="M337" s="5"/>
      <c r="N337" s="5" t="s">
        <v>42</v>
      </c>
      <c r="O337" s="5" t="s">
        <v>43</v>
      </c>
    </row>
    <row r="338" customFormat="false" ht="15" hidden="false" customHeight="false" outlineLevel="0" collapsed="false">
      <c r="A338" s="5" t="s">
        <v>1123</v>
      </c>
      <c r="B338" s="5" t="s">
        <v>880</v>
      </c>
      <c r="C338" s="5" t="s">
        <v>1113</v>
      </c>
      <c r="D338" s="5" t="s">
        <v>585</v>
      </c>
      <c r="E338" s="5" t="s">
        <v>586</v>
      </c>
      <c r="F338" s="5" t="s">
        <v>1124</v>
      </c>
      <c r="G338" s="5" t="s">
        <v>1125</v>
      </c>
      <c r="H338" s="5" t="s">
        <v>916</v>
      </c>
      <c r="I338" s="5" t="s">
        <v>907</v>
      </c>
      <c r="J338" s="5"/>
      <c r="K338" s="6" t="n">
        <f aca="false">SUMPRODUCT((Parti!$A$2:$A$3000=A338)*Parti!$C$2:$C$3000*Parti!$D$2:$D$3000*Parti!$E$2:$E$3000)</f>
        <v>300</v>
      </c>
      <c r="L338" s="6" t="n">
        <f aca="false">ROUND((K338*Legenda!$H$2/100+SUMPRODUCT((Parti!$A$2:$A$3000=A338)*Parti!$C$2:$C$3000*Parti!$D$2:$D$3000*(Parti!$F$2:$F$3000+Parti!$J$2:$J$3000)))/60,0)</f>
        <v>12</v>
      </c>
      <c r="M338" s="5"/>
      <c r="N338" s="5" t="s">
        <v>42</v>
      </c>
      <c r="O338" s="5" t="s">
        <v>43</v>
      </c>
    </row>
    <row r="339" customFormat="false" ht="15" hidden="false" customHeight="false" outlineLevel="0" collapsed="false">
      <c r="A339" s="5" t="s">
        <v>1126</v>
      </c>
      <c r="B339" s="5" t="s">
        <v>880</v>
      </c>
      <c r="C339" s="5" t="s">
        <v>1113</v>
      </c>
      <c r="D339" s="5" t="s">
        <v>542</v>
      </c>
      <c r="E339" s="5" t="s">
        <v>139</v>
      </c>
      <c r="F339" s="5" t="s">
        <v>1127</v>
      </c>
      <c r="G339" s="5" t="s">
        <v>1128</v>
      </c>
      <c r="H339" s="5" t="s">
        <v>916</v>
      </c>
      <c r="I339" s="5" t="s">
        <v>883</v>
      </c>
      <c r="J339" s="5"/>
      <c r="K339" s="6" t="n">
        <f aca="false">SUMPRODUCT((Parti!$A$2:$A$3000=A339)*Parti!$C$2:$C$3000*Parti!$D$2:$D$3000*Parti!$E$2:$E$3000)</f>
        <v>0</v>
      </c>
      <c r="L339" s="6" t="n">
        <f aca="false">ROUND((K339*Legenda!$H$2/100+SUMPRODUCT((Parti!$A$2:$A$3000=A339)*Parti!$C$2:$C$3000*Parti!$D$2:$D$3000*(Parti!$F$2:$F$3000+Parti!$J$2:$J$3000)))/60,0)</f>
        <v>10</v>
      </c>
      <c r="M339" s="5"/>
      <c r="N339" s="5" t="s">
        <v>42</v>
      </c>
      <c r="O339" s="5" t="s">
        <v>43</v>
      </c>
    </row>
    <row r="340" customFormat="false" ht="15" hidden="false" customHeight="false" outlineLevel="0" collapsed="false">
      <c r="A340" s="5" t="s">
        <v>1129</v>
      </c>
      <c r="B340" s="5" t="s">
        <v>880</v>
      </c>
      <c r="C340" s="5" t="s">
        <v>816</v>
      </c>
      <c r="D340" s="5" t="s">
        <v>36</v>
      </c>
      <c r="E340" s="5" t="s">
        <v>37</v>
      </c>
      <c r="F340" s="5" t="s">
        <v>835</v>
      </c>
      <c r="G340" s="5" t="s">
        <v>836</v>
      </c>
      <c r="H340" s="5" t="s">
        <v>133</v>
      </c>
      <c r="I340" s="5" t="s">
        <v>887</v>
      </c>
      <c r="J340" s="5"/>
      <c r="K340" s="6" t="n">
        <f aca="false">SUMPRODUCT((Parti!$A$2:$A$3000=A340)*Parti!$C$2:$C$3000*Parti!$D$2:$D$3000*Parti!$E$2:$E$3000)</f>
        <v>200</v>
      </c>
      <c r="L340" s="6" t="n">
        <f aca="false">ROUND((K340*Legenda!$H$2/100+SUMPRODUCT((Parti!$A$2:$A$3000=A340)*Parti!$C$2:$C$3000*Parti!$D$2:$D$3000*(Parti!$F$2:$F$3000+Parti!$J$2:$J$3000)))/60,0)</f>
        <v>9</v>
      </c>
      <c r="M340" s="5"/>
      <c r="N340" s="5" t="s">
        <v>42</v>
      </c>
      <c r="O340" s="5" t="s">
        <v>43</v>
      </c>
    </row>
    <row r="341" customFormat="false" ht="15" hidden="false" customHeight="false" outlineLevel="0" collapsed="false">
      <c r="A341" s="5" t="s">
        <v>1130</v>
      </c>
      <c r="B341" s="5" t="s">
        <v>880</v>
      </c>
      <c r="C341" s="5" t="s">
        <v>816</v>
      </c>
      <c r="D341" s="5" t="s">
        <v>36</v>
      </c>
      <c r="E341" s="5" t="s">
        <v>37</v>
      </c>
      <c r="F341" s="5" t="s">
        <v>1131</v>
      </c>
      <c r="G341" s="5" t="s">
        <v>821</v>
      </c>
      <c r="H341" s="5" t="s">
        <v>52</v>
      </c>
      <c r="I341" s="5" t="s">
        <v>887</v>
      </c>
      <c r="J341" s="5"/>
      <c r="K341" s="6" t="n">
        <f aca="false">SUMPRODUCT((Parti!$A$2:$A$3000=A341)*Parti!$C$2:$C$3000*Parti!$D$2:$D$3000*Parti!$E$2:$E$3000)</f>
        <v>300</v>
      </c>
      <c r="L341" s="6" t="n">
        <f aca="false">ROUND((K341*Legenda!$H$2/100+SUMPRODUCT((Parti!$A$2:$A$3000=A341)*Parti!$C$2:$C$3000*Parti!$D$2:$D$3000*(Parti!$F$2:$F$3000+Parti!$J$2:$J$3000)))/60,0)</f>
        <v>6</v>
      </c>
      <c r="M341" s="5"/>
      <c r="N341" s="5" t="s">
        <v>42</v>
      </c>
      <c r="O341" s="5" t="s">
        <v>43</v>
      </c>
    </row>
    <row r="342" customFormat="false" ht="15" hidden="false" customHeight="false" outlineLevel="0" collapsed="false">
      <c r="A342" s="5" t="s">
        <v>1132</v>
      </c>
      <c r="B342" s="5" t="s">
        <v>880</v>
      </c>
      <c r="C342" s="5" t="s">
        <v>841</v>
      </c>
      <c r="D342" s="5" t="s">
        <v>841</v>
      </c>
      <c r="E342" s="5" t="s">
        <v>842</v>
      </c>
      <c r="F342" s="5" t="s">
        <v>1133</v>
      </c>
      <c r="G342" s="5" t="s">
        <v>1134</v>
      </c>
      <c r="H342" s="5" t="s">
        <v>916</v>
      </c>
      <c r="I342" s="5" t="s">
        <v>887</v>
      </c>
      <c r="J342" s="5"/>
      <c r="K342" s="6" t="n">
        <f aca="false">SUMPRODUCT((Parti!$A$2:$A$3000=A342)*Parti!$C$2:$C$3000*Parti!$D$2:$D$3000*Parti!$E$2:$E$3000)</f>
        <v>45</v>
      </c>
      <c r="L342" s="6" t="n">
        <f aca="false">ROUND((K342*Legenda!$H$2/100+SUMPRODUCT((Parti!$A$2:$A$3000=A342)*Parti!$C$2:$C$3000*Parti!$D$2:$D$3000*(Parti!$F$2:$F$3000+Parti!$J$2:$J$3000)))/60,0)</f>
        <v>7</v>
      </c>
      <c r="M342" s="5"/>
      <c r="N342" s="5" t="s">
        <v>42</v>
      </c>
      <c r="O342" s="5" t="s">
        <v>43</v>
      </c>
    </row>
    <row r="343" customFormat="false" ht="15" hidden="false" customHeight="false" outlineLevel="0" collapsed="false">
      <c r="A343" s="5" t="s">
        <v>1135</v>
      </c>
      <c r="B343" s="5" t="s">
        <v>880</v>
      </c>
      <c r="C343" s="5" t="s">
        <v>841</v>
      </c>
      <c r="D343" s="5" t="s">
        <v>841</v>
      </c>
      <c r="E343" s="5" t="s">
        <v>842</v>
      </c>
      <c r="F343" s="5" t="s">
        <v>843</v>
      </c>
      <c r="G343" s="5" t="s">
        <v>1136</v>
      </c>
      <c r="H343" s="5" t="s">
        <v>48</v>
      </c>
      <c r="I343" s="5" t="s">
        <v>887</v>
      </c>
      <c r="J343" s="5"/>
      <c r="K343" s="6" t="n">
        <f aca="false">SUMPRODUCT((Parti!$A$2:$A$3000=A343)*Parti!$C$2:$C$3000*Parti!$D$2:$D$3000*Parti!$E$2:$E$3000)</f>
        <v>400</v>
      </c>
      <c r="L343" s="6" t="n">
        <f aca="false">ROUND((K343*Legenda!$H$2/100+SUMPRODUCT((Parti!$A$2:$A$3000=A343)*Parti!$C$2:$C$3000*Parti!$D$2:$D$3000*(Parti!$F$2:$F$3000+Parti!$J$2:$J$3000)))/60,0)</f>
        <v>7</v>
      </c>
      <c r="M343" s="5"/>
      <c r="N343" s="5" t="s">
        <v>42</v>
      </c>
      <c r="O343" s="5" t="s">
        <v>43</v>
      </c>
    </row>
    <row r="344" customFormat="false" ht="15" hidden="false" customHeight="false" outlineLevel="0" collapsed="false">
      <c r="A344" s="5" t="s">
        <v>1137</v>
      </c>
      <c r="B344" s="5" t="s">
        <v>880</v>
      </c>
      <c r="C344" s="5" t="s">
        <v>841</v>
      </c>
      <c r="D344" s="5" t="s">
        <v>841</v>
      </c>
      <c r="E344" s="5" t="s">
        <v>842</v>
      </c>
      <c r="F344" s="5" t="s">
        <v>1138</v>
      </c>
      <c r="G344" s="5" t="s">
        <v>1139</v>
      </c>
      <c r="H344" s="5"/>
      <c r="I344" s="5" t="s">
        <v>883</v>
      </c>
      <c r="J344" s="5"/>
      <c r="K344" s="6" t="n">
        <f aca="false">SUMPRODUCT((Parti!$A$2:$A$3000=A344)*Parti!$C$2:$C$3000*Parti!$D$2:$D$3000*Parti!$E$2:$E$3000)</f>
        <v>0</v>
      </c>
      <c r="L344" s="6" t="n">
        <f aca="false">ROUND((K344*Legenda!$H$2/100+SUMPRODUCT((Parti!$A$2:$A$3000=A344)*Parti!$C$2:$C$3000*Parti!$D$2:$D$3000*(Parti!$F$2:$F$3000+Parti!$J$2:$J$3000)))/60,0)</f>
        <v>1</v>
      </c>
      <c r="M344" s="5"/>
      <c r="N344" s="5" t="s">
        <v>42</v>
      </c>
      <c r="O344" s="5" t="s">
        <v>43</v>
      </c>
    </row>
    <row r="345" customFormat="false" ht="15" hidden="false" customHeight="false" outlineLevel="0" collapsed="false">
      <c r="A345" s="5" t="s">
        <v>1140</v>
      </c>
      <c r="B345" s="5" t="s">
        <v>880</v>
      </c>
      <c r="C345" s="5" t="s">
        <v>841</v>
      </c>
      <c r="D345" s="5" t="s">
        <v>841</v>
      </c>
      <c r="E345" s="5" t="s">
        <v>842</v>
      </c>
      <c r="F345" s="5" t="s">
        <v>1141</v>
      </c>
      <c r="G345" s="5" t="s">
        <v>1142</v>
      </c>
      <c r="H345" s="5" t="s">
        <v>916</v>
      </c>
      <c r="I345" s="5" t="s">
        <v>907</v>
      </c>
      <c r="J345" s="5"/>
      <c r="K345" s="6" t="n">
        <f aca="false">SUMPRODUCT((Parti!$A$2:$A$3000=A345)*Parti!$C$2:$C$3000*Parti!$D$2:$D$3000*Parti!$E$2:$E$3000)</f>
        <v>250</v>
      </c>
      <c r="L345" s="6" t="n">
        <f aca="false">ROUND((K345*Legenda!$H$2/100+SUMPRODUCT((Parti!$A$2:$A$3000=A345)*Parti!$C$2:$C$3000*Parti!$D$2:$D$3000*(Parti!$F$2:$F$3000+Parti!$J$2:$J$3000)))/60,0)</f>
        <v>8</v>
      </c>
      <c r="M345" s="5"/>
      <c r="N345" s="5" t="s">
        <v>42</v>
      </c>
      <c r="O345" s="5" t="s">
        <v>43</v>
      </c>
    </row>
    <row r="346" customFormat="false" ht="15" hidden="false" customHeight="false" outlineLevel="0" collapsed="false">
      <c r="A346" s="5" t="s">
        <v>1143</v>
      </c>
      <c r="B346" s="5" t="s">
        <v>880</v>
      </c>
      <c r="C346" s="5" t="s">
        <v>841</v>
      </c>
      <c r="D346" s="5" t="s">
        <v>841</v>
      </c>
      <c r="E346" s="5" t="s">
        <v>842</v>
      </c>
      <c r="F346" s="5" t="s">
        <v>1144</v>
      </c>
      <c r="G346" s="5" t="s">
        <v>1145</v>
      </c>
      <c r="H346" s="5"/>
      <c r="I346" s="5" t="s">
        <v>887</v>
      </c>
      <c r="J346" s="5" t="s">
        <v>908</v>
      </c>
      <c r="K346" s="6" t="n">
        <f aca="false">SUMPRODUCT((Parti!$A$2:$A$3000=A346)*Parti!$C$2:$C$3000*Parti!$D$2:$D$3000*Parti!$E$2:$E$3000)</f>
        <v>0</v>
      </c>
      <c r="L346" s="6" t="n">
        <f aca="false">ROUND((K346*Legenda!$H$2/100+SUMPRODUCT((Parti!$A$2:$A$3000=A346)*Parti!$C$2:$C$3000*Parti!$D$2:$D$3000*(Parti!$F$2:$F$3000+Parti!$J$2:$J$3000)))/60,0)</f>
        <v>5</v>
      </c>
      <c r="M346" s="5"/>
      <c r="N346" s="5" t="s">
        <v>42</v>
      </c>
      <c r="O346" s="5" t="s">
        <v>43</v>
      </c>
    </row>
    <row r="347" customFormat="false" ht="15" hidden="false" customHeight="false" outlineLevel="0" collapsed="false">
      <c r="A347" s="5" t="s">
        <v>1146</v>
      </c>
      <c r="B347" s="5" t="s">
        <v>34</v>
      </c>
      <c r="C347" s="5" t="s">
        <v>1147</v>
      </c>
      <c r="D347" s="5" t="s">
        <v>107</v>
      </c>
      <c r="E347" s="5" t="s">
        <v>153</v>
      </c>
      <c r="F347" s="5" t="s">
        <v>1148</v>
      </c>
      <c r="G347" s="5" t="s">
        <v>1149</v>
      </c>
      <c r="H347" s="5"/>
      <c r="I347" s="5" t="s">
        <v>1150</v>
      </c>
      <c r="J347" s="5" t="s">
        <v>1151</v>
      </c>
      <c r="K347" s="6" t="n">
        <f aca="false">SUMPRODUCT((Parti!$A$2:$A$3000=A347)*Parti!$C$2:$C$3000*Parti!$D$2:$D$3000*Parti!$E$2:$E$3000)</f>
        <v>0</v>
      </c>
      <c r="L347" s="6" t="n">
        <f aca="false">ROUND((K347*Legenda!$H$2/100+SUMPRODUCT((Parti!$A$2:$A$3000=A347)*Parti!$C$2:$C$3000*Parti!$D$2:$D$3000*(Parti!$F$2:$F$3000+Parti!$J$2:$J$3000)))/60,0)</f>
        <v>10</v>
      </c>
      <c r="M347" s="5"/>
      <c r="N347" s="5" t="s">
        <v>42</v>
      </c>
      <c r="O347" s="5" t="s">
        <v>43</v>
      </c>
    </row>
    <row r="348" customFormat="false" ht="15" hidden="false" customHeight="false" outlineLevel="0" collapsed="false">
      <c r="A348" s="5" t="s">
        <v>1152</v>
      </c>
      <c r="B348" s="5" t="s">
        <v>34</v>
      </c>
      <c r="C348" s="5" t="s">
        <v>1147</v>
      </c>
      <c r="D348" s="5" t="s">
        <v>36</v>
      </c>
      <c r="E348" s="5" t="s">
        <v>37</v>
      </c>
      <c r="F348" s="5" t="s">
        <v>1153</v>
      </c>
      <c r="G348" s="5" t="s">
        <v>1154</v>
      </c>
      <c r="H348" s="5"/>
      <c r="I348" s="5" t="s">
        <v>1150</v>
      </c>
      <c r="J348" s="5"/>
      <c r="K348" s="6" t="n">
        <f aca="false">SUMPRODUCT((Parti!$A$2:$A$3000=A348)*Parti!$C$2:$C$3000*Parti!$D$2:$D$3000*Parti!$E$2:$E$3000)</f>
        <v>0</v>
      </c>
      <c r="L348" s="6" t="n">
        <f aca="false">ROUND((K348*Legenda!$H$2/100+SUMPRODUCT((Parti!$A$2:$A$3000=A348)*Parti!$C$2:$C$3000*Parti!$D$2:$D$3000*(Parti!$F$2:$F$3000+Parti!$J$2:$J$3000)))/60,0)</f>
        <v>10</v>
      </c>
      <c r="M348" s="5"/>
      <c r="N348" s="5" t="s">
        <v>42</v>
      </c>
      <c r="O348" s="5" t="s">
        <v>43</v>
      </c>
    </row>
    <row r="349" customFormat="false" ht="15" hidden="false" customHeight="false" outlineLevel="0" collapsed="false">
      <c r="A349" s="5" t="s">
        <v>1155</v>
      </c>
      <c r="B349" s="5" t="s">
        <v>34</v>
      </c>
      <c r="C349" s="5" t="s">
        <v>1147</v>
      </c>
      <c r="D349" s="5" t="s">
        <v>394</v>
      </c>
      <c r="E349" s="5" t="s">
        <v>108</v>
      </c>
      <c r="F349" s="5" t="s">
        <v>1156</v>
      </c>
      <c r="G349" s="5" t="s">
        <v>1157</v>
      </c>
      <c r="H349" s="5"/>
      <c r="I349" s="5" t="s">
        <v>1150</v>
      </c>
      <c r="J349" s="5"/>
      <c r="K349" s="6" t="n">
        <f aca="false">SUMPRODUCT((Parti!$A$2:$A$3000=A349)*Parti!$C$2:$C$3000*Parti!$D$2:$D$3000*Parti!$E$2:$E$3000)</f>
        <v>0</v>
      </c>
      <c r="L349" s="6" t="n">
        <f aca="false">ROUND((K349*Legenda!$H$2/100+SUMPRODUCT((Parti!$A$2:$A$3000=A349)*Parti!$C$2:$C$3000*Parti!$D$2:$D$3000*(Parti!$F$2:$F$3000+Parti!$J$2:$J$3000)))/60,0)</f>
        <v>18</v>
      </c>
      <c r="M349" s="5"/>
      <c r="N349" s="5" t="s">
        <v>42</v>
      </c>
      <c r="O349" s="5" t="s">
        <v>43</v>
      </c>
    </row>
    <row r="350" customFormat="false" ht="15" hidden="false" customHeight="false" outlineLevel="0" collapsed="false">
      <c r="A350" s="5" t="s">
        <v>1158</v>
      </c>
      <c r="B350" s="5" t="s">
        <v>34</v>
      </c>
      <c r="C350" s="5" t="s">
        <v>1147</v>
      </c>
      <c r="D350" s="5" t="s">
        <v>394</v>
      </c>
      <c r="E350" s="5" t="s">
        <v>139</v>
      </c>
      <c r="F350" s="5" t="s">
        <v>1159</v>
      </c>
      <c r="G350" s="5" t="s">
        <v>1160</v>
      </c>
      <c r="H350" s="5"/>
      <c r="I350" s="5" t="s">
        <v>1150</v>
      </c>
      <c r="J350" s="5"/>
      <c r="K350" s="6" t="n">
        <f aca="false">SUMPRODUCT((Parti!$A$2:$A$3000=A350)*Parti!$C$2:$C$3000*Parti!$D$2:$D$3000*Parti!$E$2:$E$3000)</f>
        <v>0</v>
      </c>
      <c r="L350" s="6" t="n">
        <f aca="false">ROUND((K350*Legenda!$H$2/100+SUMPRODUCT((Parti!$A$2:$A$3000=A350)*Parti!$C$2:$C$3000*Parti!$D$2:$D$3000*(Parti!$F$2:$F$3000+Parti!$J$2:$J$3000)))/60,0)</f>
        <v>29</v>
      </c>
      <c r="M350" s="5"/>
      <c r="N350" s="5" t="s">
        <v>42</v>
      </c>
      <c r="O350" s="5" t="s">
        <v>43</v>
      </c>
    </row>
    <row r="351" customFormat="false" ht="15" hidden="false" customHeight="false" outlineLevel="0" collapsed="false">
      <c r="A351" s="5" t="s">
        <v>1161</v>
      </c>
      <c r="B351" s="5" t="s">
        <v>34</v>
      </c>
      <c r="C351" s="5" t="s">
        <v>1147</v>
      </c>
      <c r="D351" s="5" t="s">
        <v>36</v>
      </c>
      <c r="E351" s="5" t="s">
        <v>37</v>
      </c>
      <c r="F351" s="5" t="s">
        <v>1162</v>
      </c>
      <c r="G351" s="5" t="s">
        <v>1163</v>
      </c>
      <c r="H351" s="5"/>
      <c r="I351" s="5" t="s">
        <v>1150</v>
      </c>
      <c r="J351" s="5"/>
      <c r="K351" s="6" t="n">
        <f aca="false">SUMPRODUCT((Parti!$A$2:$A$3000=A351)*Parti!$C$2:$C$3000*Parti!$D$2:$D$3000*Parti!$E$2:$E$3000)</f>
        <v>0</v>
      </c>
      <c r="L351" s="6" t="n">
        <f aca="false">ROUND((K351*Legenda!$H$2/100+SUMPRODUCT((Parti!$A$2:$A$3000=A351)*Parti!$C$2:$C$3000*Parti!$D$2:$D$3000*(Parti!$F$2:$F$3000+Parti!$J$2:$J$3000)))/60,0)</f>
        <v>10</v>
      </c>
      <c r="M351" s="5"/>
      <c r="N351" s="5" t="s">
        <v>42</v>
      </c>
      <c r="O351" s="5" t="s">
        <v>43</v>
      </c>
    </row>
  </sheetData>
  <autoFilter ref="A1:O351"/>
  <dataValidations count="4">
    <dataValidation allowBlank="true" errorStyle="stop" operator="between" showDropDown="false" showErrorMessage="false" showInputMessage="false" sqref="B2:B1351" type="list">
      <formula1>Legenda!$J$2:$J$4</formula1>
      <formula2>0</formula2>
    </dataValidation>
    <dataValidation allowBlank="true" errorStyle="stop" operator="between" showDropDown="false" showErrorMessage="false" showInputMessage="false" sqref="C2:C1351" type="list">
      <formula1>Legenda!$K$2:$K$18</formula1>
      <formula2>0</formula2>
    </dataValidation>
    <dataValidation allowBlank="true" errorStyle="stop" operator="between" showDropDown="false" showErrorMessage="false" showInputMessage="false" sqref="D2:D1351" type="list">
      <formula1>Legenda!$L$2:$L$13</formula1>
      <formula2>0</formula2>
    </dataValidation>
    <dataValidation allowBlank="true" errorStyle="stop" operator="between" showDropDown="false" showErrorMessage="false" showInputMessage="false" sqref="N2:N1351" type="list">
      <formula1>Legenda!$N$2:$N$3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"/>
    <col collapsed="false" customWidth="true" hidden="false" outlineLevel="0" max="7" min="7" style="0" width="48"/>
    <col collapsed="false" customWidth="true" hidden="false" outlineLevel="0" max="8" min="8" style="0" width="10"/>
    <col collapsed="false" customWidth="true" hidden="false" outlineLevel="0" max="15" min="10" style="0" width="20"/>
  </cols>
  <sheetData>
    <row r="1" customFormat="false" ht="15" hidden="false" customHeight="false" outlineLevel="0" collapsed="false">
      <c r="A1" s="7" t="s">
        <v>1164</v>
      </c>
      <c r="B1" s="7" t="s">
        <v>1165</v>
      </c>
      <c r="C1" s="7" t="s">
        <v>1166</v>
      </c>
      <c r="D1" s="7" t="s">
        <v>1167</v>
      </c>
      <c r="E1" s="7" t="s">
        <v>1168</v>
      </c>
      <c r="G1" s="7" t="s">
        <v>1169</v>
      </c>
      <c r="H1" s="7" t="s">
        <v>1170</v>
      </c>
      <c r="J1" s="7" t="s">
        <v>19</v>
      </c>
      <c r="K1" s="7" t="s">
        <v>20</v>
      </c>
      <c r="L1" s="7" t="s">
        <v>21</v>
      </c>
      <c r="M1" s="7" t="s">
        <v>1171</v>
      </c>
      <c r="N1" s="7" t="s">
        <v>31</v>
      </c>
      <c r="O1" s="7" t="s">
        <v>1164</v>
      </c>
    </row>
    <row r="2" customFormat="false" ht="15" hidden="false" customHeight="false" outlineLevel="0" collapsed="false">
      <c r="A2" s="5" t="s">
        <v>37</v>
      </c>
      <c r="B2" s="5" t="s">
        <v>1172</v>
      </c>
      <c r="C2" s="5" t="s">
        <v>1173</v>
      </c>
      <c r="D2" s="5" t="s">
        <v>1174</v>
      </c>
      <c r="E2" s="5" t="s">
        <v>1175</v>
      </c>
      <c r="G2" s="5" t="s">
        <v>1176</v>
      </c>
      <c r="H2" s="8" t="n">
        <v>110</v>
      </c>
      <c r="J2" s="5" t="s">
        <v>69</v>
      </c>
      <c r="K2" s="5" t="s">
        <v>1147</v>
      </c>
      <c r="L2" s="5" t="s">
        <v>45</v>
      </c>
      <c r="M2" s="5" t="s">
        <v>48</v>
      </c>
      <c r="N2" s="5" t="s">
        <v>42</v>
      </c>
      <c r="O2" s="5" t="s">
        <v>37</v>
      </c>
    </row>
    <row r="3" customFormat="false" ht="15" hidden="false" customHeight="false" outlineLevel="0" collapsed="false">
      <c r="A3" s="5" t="s">
        <v>343</v>
      </c>
      <c r="B3" s="5" t="s">
        <v>1177</v>
      </c>
      <c r="C3" s="5" t="s">
        <v>1178</v>
      </c>
      <c r="D3" s="5" t="s">
        <v>1174</v>
      </c>
      <c r="E3" s="5" t="s">
        <v>1179</v>
      </c>
      <c r="G3" s="9" t="s">
        <v>1180</v>
      </c>
      <c r="J3" s="5" t="s">
        <v>880</v>
      </c>
      <c r="K3" s="5" t="s">
        <v>1072</v>
      </c>
      <c r="L3" s="5" t="s">
        <v>107</v>
      </c>
      <c r="M3" s="5" t="s">
        <v>115</v>
      </c>
      <c r="N3" s="5" t="s">
        <v>1181</v>
      </c>
      <c r="O3" s="5" t="s">
        <v>343</v>
      </c>
    </row>
    <row r="4" customFormat="false" ht="15" hidden="false" customHeight="false" outlineLevel="0" collapsed="false">
      <c r="A4" s="5" t="s">
        <v>108</v>
      </c>
      <c r="B4" s="5" t="s">
        <v>1182</v>
      </c>
      <c r="C4" s="5" t="s">
        <v>1183</v>
      </c>
      <c r="D4" s="5" t="s">
        <v>1184</v>
      </c>
      <c r="E4" s="5" t="s">
        <v>1185</v>
      </c>
      <c r="J4" s="5" t="s">
        <v>34</v>
      </c>
      <c r="K4" s="5" t="s">
        <v>107</v>
      </c>
      <c r="L4" s="5" t="s">
        <v>394</v>
      </c>
      <c r="M4" s="5" t="s">
        <v>119</v>
      </c>
      <c r="O4" s="5" t="s">
        <v>108</v>
      </c>
    </row>
    <row r="5" customFormat="false" ht="15" hidden="false" customHeight="false" outlineLevel="0" collapsed="false">
      <c r="A5" s="5" t="s">
        <v>139</v>
      </c>
      <c r="B5" s="5" t="s">
        <v>1186</v>
      </c>
      <c r="C5" s="5" t="s">
        <v>1187</v>
      </c>
      <c r="D5" s="5" t="s">
        <v>1188</v>
      </c>
      <c r="E5" s="5" t="s">
        <v>1189</v>
      </c>
      <c r="K5" s="5" t="s">
        <v>399</v>
      </c>
      <c r="L5" s="5" t="s">
        <v>585</v>
      </c>
      <c r="M5" s="5" t="s">
        <v>123</v>
      </c>
      <c r="O5" s="5" t="s">
        <v>139</v>
      </c>
    </row>
    <row r="6" customFormat="false" ht="15" hidden="false" customHeight="false" outlineLevel="0" collapsed="false">
      <c r="A6" s="5" t="s">
        <v>586</v>
      </c>
      <c r="B6" s="5" t="s">
        <v>1190</v>
      </c>
      <c r="C6" s="5" t="s">
        <v>1191</v>
      </c>
      <c r="D6" s="5" t="s">
        <v>1192</v>
      </c>
      <c r="E6" s="5" t="s">
        <v>1193</v>
      </c>
      <c r="K6" s="5" t="s">
        <v>1113</v>
      </c>
      <c r="L6" s="5" t="s">
        <v>36</v>
      </c>
      <c r="M6" s="5" t="s">
        <v>52</v>
      </c>
      <c r="O6" s="5" t="s">
        <v>586</v>
      </c>
    </row>
    <row r="7" customFormat="false" ht="15" hidden="false" customHeight="false" outlineLevel="0" collapsed="false">
      <c r="A7" s="5" t="s">
        <v>423</v>
      </c>
      <c r="B7" s="5" t="s">
        <v>1194</v>
      </c>
      <c r="C7" s="5" t="s">
        <v>1195</v>
      </c>
      <c r="D7" s="5" t="s">
        <v>1196</v>
      </c>
      <c r="E7" s="5" t="s">
        <v>1197</v>
      </c>
      <c r="K7" s="5" t="s">
        <v>816</v>
      </c>
      <c r="L7" s="5" t="s">
        <v>722</v>
      </c>
      <c r="M7" s="5" t="s">
        <v>133</v>
      </c>
      <c r="O7" s="5" t="s">
        <v>423</v>
      </c>
    </row>
    <row r="8" customFormat="false" ht="15" hidden="false" customHeight="false" outlineLevel="0" collapsed="false">
      <c r="A8" s="5" t="s">
        <v>135</v>
      </c>
      <c r="B8" s="5" t="s">
        <v>1198</v>
      </c>
      <c r="C8" s="5" t="s">
        <v>1199</v>
      </c>
      <c r="D8" s="5" t="s">
        <v>1200</v>
      </c>
      <c r="E8" s="5" t="s">
        <v>1201</v>
      </c>
      <c r="K8" s="5" t="s">
        <v>1056</v>
      </c>
      <c r="L8" s="5" t="s">
        <v>348</v>
      </c>
      <c r="M8" s="5" t="s">
        <v>916</v>
      </c>
      <c r="O8" s="5" t="s">
        <v>135</v>
      </c>
    </row>
    <row r="9" customFormat="false" ht="15" hidden="false" customHeight="false" outlineLevel="0" collapsed="false">
      <c r="A9" s="5" t="s">
        <v>149</v>
      </c>
      <c r="B9" s="5" t="s">
        <v>722</v>
      </c>
      <c r="C9" s="5" t="s">
        <v>1202</v>
      </c>
      <c r="D9" s="5" t="s">
        <v>1203</v>
      </c>
      <c r="E9" s="5" t="s">
        <v>1204</v>
      </c>
      <c r="K9" s="5" t="s">
        <v>342</v>
      </c>
      <c r="L9" s="5" t="s">
        <v>994</v>
      </c>
      <c r="M9" s="5" t="s">
        <v>1205</v>
      </c>
      <c r="O9" s="5" t="s">
        <v>149</v>
      </c>
    </row>
    <row r="10" customFormat="false" ht="15" hidden="false" customHeight="false" outlineLevel="0" collapsed="false">
      <c r="A10" s="5" t="s">
        <v>153</v>
      </c>
      <c r="B10" s="5" t="s">
        <v>88</v>
      </c>
      <c r="C10" s="5" t="s">
        <v>1206</v>
      </c>
      <c r="D10" s="5" t="s">
        <v>1207</v>
      </c>
      <c r="E10" s="5" t="s">
        <v>1208</v>
      </c>
      <c r="K10" s="5" t="s">
        <v>913</v>
      </c>
      <c r="L10" s="5" t="s">
        <v>88</v>
      </c>
      <c r="O10" s="5" t="s">
        <v>153</v>
      </c>
    </row>
    <row r="11" customFormat="false" ht="15" hidden="false" customHeight="false" outlineLevel="0" collapsed="false">
      <c r="A11" s="5" t="s">
        <v>995</v>
      </c>
      <c r="B11" s="5" t="s">
        <v>1209</v>
      </c>
      <c r="C11" s="5" t="s">
        <v>1210</v>
      </c>
      <c r="D11" s="5" t="s">
        <v>1208</v>
      </c>
      <c r="E11" s="5" t="s">
        <v>1208</v>
      </c>
      <c r="K11" s="5" t="s">
        <v>1094</v>
      </c>
      <c r="L11" s="5" t="s">
        <v>841</v>
      </c>
      <c r="O11" s="5" t="s">
        <v>995</v>
      </c>
    </row>
    <row r="12" customFormat="false" ht="15" hidden="false" customHeight="false" outlineLevel="0" collapsed="false">
      <c r="A12" s="5" t="s">
        <v>842</v>
      </c>
      <c r="B12" s="5" t="s">
        <v>841</v>
      </c>
      <c r="C12" s="5" t="s">
        <v>1211</v>
      </c>
      <c r="D12" s="5" t="s">
        <v>1208</v>
      </c>
      <c r="E12" s="5" t="s">
        <v>1208</v>
      </c>
      <c r="K12" s="5" t="s">
        <v>980</v>
      </c>
      <c r="L12" s="5" t="s">
        <v>542</v>
      </c>
      <c r="O12" s="5" t="s">
        <v>842</v>
      </c>
    </row>
    <row r="13" customFormat="false" ht="15" hidden="false" customHeight="false" outlineLevel="0" collapsed="false">
      <c r="K13" s="5" t="s">
        <v>1036</v>
      </c>
      <c r="L13" s="5" t="s">
        <v>98</v>
      </c>
    </row>
    <row r="14" customFormat="false" ht="15" hidden="false" customHeight="false" outlineLevel="0" collapsed="false">
      <c r="A14" s="9" t="s">
        <v>1212</v>
      </c>
      <c r="K14" s="5" t="s">
        <v>35</v>
      </c>
    </row>
    <row r="15" customFormat="false" ht="15" hidden="false" customHeight="false" outlineLevel="0" collapsed="false">
      <c r="K15" s="5" t="s">
        <v>428</v>
      </c>
    </row>
    <row r="16" customFormat="false" ht="15" hidden="false" customHeight="false" outlineLevel="0" collapsed="false">
      <c r="K16" s="5" t="s">
        <v>88</v>
      </c>
    </row>
    <row r="17" customFormat="false" ht="15" hidden="false" customHeight="false" outlineLevel="0" collapsed="false">
      <c r="K17" s="5" t="s">
        <v>841</v>
      </c>
    </row>
    <row r="18" customFormat="false" ht="15" hidden="false" customHeight="false" outlineLevel="0" collapsed="false">
      <c r="K18" s="5" t="s">
        <v>1008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55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31.5" hidden="false" customHeight="true" outlineLevel="0" collapsed="false">
      <c r="A1" s="10" t="s">
        <v>1213</v>
      </c>
      <c r="B1" s="10" t="s">
        <v>1214</v>
      </c>
      <c r="C1" s="10" t="s">
        <v>1215</v>
      </c>
      <c r="D1" s="10" t="s">
        <v>1216</v>
      </c>
      <c r="E1" s="10" t="s">
        <v>1217</v>
      </c>
      <c r="F1" s="10" t="s">
        <v>1218</v>
      </c>
      <c r="G1" s="10" t="s">
        <v>1171</v>
      </c>
      <c r="H1" s="10" t="s">
        <v>1219</v>
      </c>
      <c r="I1" s="10" t="s">
        <v>1164</v>
      </c>
      <c r="J1" s="10" t="s">
        <v>1220</v>
      </c>
      <c r="K1" s="10" t="s">
        <v>27</v>
      </c>
      <c r="L1" s="10" t="s">
        <v>1221</v>
      </c>
    </row>
    <row r="2" customFormat="false" ht="15" hidden="false" customHeight="false" outlineLevel="0" collapsed="false">
      <c r="A2" s="5" t="s">
        <v>33</v>
      </c>
      <c r="B2" s="5" t="n">
        <v>1</v>
      </c>
      <c r="C2" s="5" t="n">
        <v>1</v>
      </c>
      <c r="D2" s="5" t="n">
        <v>1</v>
      </c>
      <c r="E2" s="5" t="n">
        <v>200</v>
      </c>
      <c r="F2" s="5"/>
      <c r="G2" s="5" t="s">
        <v>48</v>
      </c>
      <c r="H2" s="5" t="s">
        <v>1222</v>
      </c>
      <c r="I2" s="5" t="s">
        <v>37</v>
      </c>
      <c r="J2" s="5"/>
      <c r="K2" s="5"/>
      <c r="L2" s="5"/>
    </row>
    <row r="3" customFormat="false" ht="15" hidden="false" customHeight="false" outlineLevel="0" collapsed="false">
      <c r="A3" s="5" t="s">
        <v>33</v>
      </c>
      <c r="B3" s="5" t="n">
        <v>2</v>
      </c>
      <c r="C3" s="5" t="n">
        <v>1</v>
      </c>
      <c r="D3" s="5" t="n">
        <v>1</v>
      </c>
      <c r="E3" s="5" t="n">
        <v>100</v>
      </c>
      <c r="F3" s="5"/>
      <c r="G3" s="5" t="s">
        <v>115</v>
      </c>
      <c r="H3" s="5" t="s">
        <v>1222</v>
      </c>
      <c r="I3" s="5" t="s">
        <v>37</v>
      </c>
      <c r="J3" s="5"/>
      <c r="K3" s="5"/>
      <c r="L3" s="5"/>
    </row>
    <row r="4" customFormat="false" ht="15" hidden="false" customHeight="false" outlineLevel="0" collapsed="false">
      <c r="A4" s="5" t="s">
        <v>33</v>
      </c>
      <c r="B4" s="5" t="n">
        <v>3</v>
      </c>
      <c r="C4" s="5" t="n">
        <v>1</v>
      </c>
      <c r="D4" s="5" t="n">
        <v>1</v>
      </c>
      <c r="E4" s="5" t="n">
        <v>100</v>
      </c>
      <c r="F4" s="5"/>
      <c r="G4" s="5" t="s">
        <v>119</v>
      </c>
      <c r="H4" s="5" t="s">
        <v>1222</v>
      </c>
      <c r="I4" s="5" t="s">
        <v>37</v>
      </c>
      <c r="J4" s="5"/>
      <c r="K4" s="5"/>
      <c r="L4" s="5"/>
    </row>
    <row r="5" customFormat="false" ht="15" hidden="false" customHeight="false" outlineLevel="0" collapsed="false">
      <c r="A5" s="5" t="s">
        <v>44</v>
      </c>
      <c r="B5" s="5" t="n">
        <v>1</v>
      </c>
      <c r="C5" s="5" t="n">
        <v>1</v>
      </c>
      <c r="D5" s="5" t="n">
        <v>3</v>
      </c>
      <c r="E5" s="5" t="n">
        <v>100</v>
      </c>
      <c r="F5" s="5"/>
      <c r="G5" s="5" t="s">
        <v>48</v>
      </c>
      <c r="H5" s="5" t="s">
        <v>1223</v>
      </c>
      <c r="I5" s="5" t="s">
        <v>37</v>
      </c>
      <c r="J5" s="5" t="n">
        <v>10</v>
      </c>
      <c r="K5" s="5"/>
      <c r="L5" s="5"/>
    </row>
    <row r="6" customFormat="false" ht="15" hidden="false" customHeight="false" outlineLevel="0" collapsed="false">
      <c r="A6" s="5" t="s">
        <v>49</v>
      </c>
      <c r="B6" s="5" t="n">
        <v>1</v>
      </c>
      <c r="C6" s="5" t="n">
        <v>1</v>
      </c>
      <c r="D6" s="5" t="n">
        <v>8</v>
      </c>
      <c r="E6" s="5" t="n">
        <v>50</v>
      </c>
      <c r="F6" s="5"/>
      <c r="G6" s="5" t="s">
        <v>52</v>
      </c>
      <c r="H6" s="5" t="s">
        <v>1224</v>
      </c>
      <c r="I6" s="5" t="s">
        <v>37</v>
      </c>
      <c r="J6" s="5" t="n">
        <v>15</v>
      </c>
      <c r="K6" s="5"/>
      <c r="L6" s="5"/>
    </row>
    <row r="7" customFormat="false" ht="15" hidden="false" customHeight="false" outlineLevel="0" collapsed="false">
      <c r="A7" s="5" t="s">
        <v>54</v>
      </c>
      <c r="B7" s="5" t="n">
        <v>1</v>
      </c>
      <c r="C7" s="5" t="n">
        <v>1</v>
      </c>
      <c r="D7" s="5" t="n">
        <v>1</v>
      </c>
      <c r="E7" s="5" t="n">
        <v>200</v>
      </c>
      <c r="F7" s="5"/>
      <c r="G7" s="5" t="s">
        <v>48</v>
      </c>
      <c r="H7" s="5"/>
      <c r="I7" s="5" t="s">
        <v>37</v>
      </c>
      <c r="J7" s="5" t="n">
        <v>20</v>
      </c>
      <c r="K7" s="5"/>
      <c r="L7" s="5"/>
    </row>
    <row r="8" customFormat="false" ht="15" hidden="false" customHeight="false" outlineLevel="0" collapsed="false">
      <c r="A8" s="5" t="s">
        <v>54</v>
      </c>
      <c r="B8" s="5" t="n">
        <v>2</v>
      </c>
      <c r="C8" s="5" t="n">
        <v>1</v>
      </c>
      <c r="D8" s="5" t="n">
        <v>1</v>
      </c>
      <c r="E8" s="5" t="n">
        <v>200</v>
      </c>
      <c r="F8" s="5"/>
      <c r="G8" s="5" t="s">
        <v>115</v>
      </c>
      <c r="H8" s="5"/>
      <c r="I8" s="5" t="s">
        <v>37</v>
      </c>
      <c r="J8" s="5" t="n">
        <v>20</v>
      </c>
      <c r="K8" s="5"/>
      <c r="L8" s="5"/>
    </row>
    <row r="9" customFormat="false" ht="15" hidden="false" customHeight="false" outlineLevel="0" collapsed="false">
      <c r="A9" s="5" t="s">
        <v>54</v>
      </c>
      <c r="B9" s="5" t="n">
        <v>3</v>
      </c>
      <c r="C9" s="5" t="n">
        <v>1</v>
      </c>
      <c r="D9" s="5" t="n">
        <v>1</v>
      </c>
      <c r="E9" s="5" t="n">
        <v>200</v>
      </c>
      <c r="F9" s="5"/>
      <c r="G9" s="5" t="s">
        <v>52</v>
      </c>
      <c r="H9" s="5" t="s">
        <v>1222</v>
      </c>
      <c r="I9" s="5" t="s">
        <v>37</v>
      </c>
      <c r="J9" s="5"/>
      <c r="K9" s="5"/>
      <c r="L9" s="5"/>
    </row>
    <row r="10" customFormat="false" ht="15" hidden="false" customHeight="false" outlineLevel="0" collapsed="false">
      <c r="A10" s="5" t="s">
        <v>57</v>
      </c>
      <c r="B10" s="5" t="n">
        <v>1</v>
      </c>
      <c r="C10" s="5" t="n">
        <v>1</v>
      </c>
      <c r="D10" s="5" t="n">
        <v>4</v>
      </c>
      <c r="E10" s="5" t="n">
        <v>100</v>
      </c>
      <c r="F10" s="5"/>
      <c r="G10" s="5" t="s">
        <v>48</v>
      </c>
      <c r="H10" s="5" t="s">
        <v>1225</v>
      </c>
      <c r="I10" s="5" t="s">
        <v>37</v>
      </c>
      <c r="J10" s="5" t="n">
        <v>10</v>
      </c>
      <c r="K10" s="5"/>
      <c r="L10" s="5"/>
    </row>
    <row r="11" customFormat="false" ht="15" hidden="false" customHeight="false" outlineLevel="0" collapsed="false">
      <c r="A11" s="5" t="s">
        <v>60</v>
      </c>
      <c r="B11" s="5" t="n">
        <v>1</v>
      </c>
      <c r="C11" s="5" t="n">
        <v>1</v>
      </c>
      <c r="D11" s="5" t="n">
        <v>1</v>
      </c>
      <c r="E11" s="5" t="n">
        <v>200</v>
      </c>
      <c r="F11" s="5"/>
      <c r="G11" s="5" t="s">
        <v>48</v>
      </c>
      <c r="H11" s="5"/>
      <c r="I11" s="5" t="s">
        <v>37</v>
      </c>
      <c r="J11" s="5" t="n">
        <v>20</v>
      </c>
      <c r="K11" s="5"/>
      <c r="L11" s="5"/>
    </row>
    <row r="12" customFormat="false" ht="15" hidden="false" customHeight="false" outlineLevel="0" collapsed="false">
      <c r="A12" s="5" t="s">
        <v>60</v>
      </c>
      <c r="B12" s="5" t="n">
        <v>2</v>
      </c>
      <c r="C12" s="5" t="n">
        <v>1</v>
      </c>
      <c r="D12" s="5" t="n">
        <v>4</v>
      </c>
      <c r="E12" s="5" t="n">
        <v>50</v>
      </c>
      <c r="F12" s="5"/>
      <c r="G12" s="5" t="s">
        <v>133</v>
      </c>
      <c r="H12" s="5" t="s">
        <v>1226</v>
      </c>
      <c r="I12" s="5" t="s">
        <v>37</v>
      </c>
      <c r="J12" s="5" t="n">
        <v>15</v>
      </c>
      <c r="K12" s="5" t="s">
        <v>346</v>
      </c>
      <c r="L12" s="5"/>
    </row>
    <row r="13" customFormat="false" ht="15" hidden="false" customHeight="false" outlineLevel="0" collapsed="false">
      <c r="A13" s="5" t="s">
        <v>60</v>
      </c>
      <c r="B13" s="5" t="n">
        <v>3</v>
      </c>
      <c r="C13" s="5" t="n">
        <v>1</v>
      </c>
      <c r="D13" s="5" t="n">
        <v>4</v>
      </c>
      <c r="E13" s="5" t="n">
        <v>50</v>
      </c>
      <c r="F13" s="5"/>
      <c r="G13" s="5" t="s">
        <v>48</v>
      </c>
      <c r="H13" s="5" t="s">
        <v>1227</v>
      </c>
      <c r="I13" s="5" t="s">
        <v>37</v>
      </c>
      <c r="J13" s="5" t="n">
        <v>15</v>
      </c>
      <c r="K13" s="5" t="s">
        <v>264</v>
      </c>
      <c r="L13" s="5"/>
    </row>
    <row r="14" customFormat="false" ht="15" hidden="false" customHeight="false" outlineLevel="0" collapsed="false">
      <c r="A14" s="5" t="s">
        <v>64</v>
      </c>
      <c r="B14" s="5" t="n">
        <v>1</v>
      </c>
      <c r="C14" s="5" t="n">
        <v>1</v>
      </c>
      <c r="D14" s="5" t="n">
        <v>1</v>
      </c>
      <c r="E14" s="5" t="n">
        <v>100</v>
      </c>
      <c r="F14" s="5"/>
      <c r="G14" s="5" t="s">
        <v>48</v>
      </c>
      <c r="H14" s="5"/>
      <c r="I14" s="5" t="s">
        <v>37</v>
      </c>
      <c r="J14" s="5" t="n">
        <v>20</v>
      </c>
      <c r="K14" s="5"/>
      <c r="L14" s="5"/>
    </row>
    <row r="15" customFormat="false" ht="15" hidden="false" customHeight="false" outlineLevel="0" collapsed="false">
      <c r="A15" s="5" t="s">
        <v>64</v>
      </c>
      <c r="B15" s="5" t="n">
        <v>2</v>
      </c>
      <c r="C15" s="5" t="n">
        <v>1</v>
      </c>
      <c r="D15" s="5" t="n">
        <v>1</v>
      </c>
      <c r="E15" s="5" t="n">
        <v>100</v>
      </c>
      <c r="F15" s="5"/>
      <c r="G15" s="5" t="s">
        <v>115</v>
      </c>
      <c r="H15" s="5"/>
      <c r="I15" s="5" t="s">
        <v>37</v>
      </c>
      <c r="J15" s="5" t="n">
        <v>20</v>
      </c>
      <c r="K15" s="5"/>
      <c r="L15" s="5"/>
    </row>
    <row r="16" customFormat="false" ht="15" hidden="false" customHeight="false" outlineLevel="0" collapsed="false">
      <c r="A16" s="5" t="s">
        <v>64</v>
      </c>
      <c r="B16" s="5" t="n">
        <v>3</v>
      </c>
      <c r="C16" s="5" t="n">
        <v>1</v>
      </c>
      <c r="D16" s="5" t="n">
        <v>4</v>
      </c>
      <c r="E16" s="5" t="n">
        <v>25</v>
      </c>
      <c r="F16" s="5"/>
      <c r="G16" s="5" t="s">
        <v>133</v>
      </c>
      <c r="H16" s="5" t="s">
        <v>1228</v>
      </c>
      <c r="I16" s="5" t="s">
        <v>37</v>
      </c>
      <c r="J16" s="5" t="n">
        <v>20</v>
      </c>
      <c r="K16" s="5"/>
      <c r="L16" s="5"/>
    </row>
    <row r="17" customFormat="false" ht="15" hidden="false" customHeight="false" outlineLevel="0" collapsed="false">
      <c r="A17" s="5" t="s">
        <v>68</v>
      </c>
      <c r="B17" s="5" t="n">
        <v>1</v>
      </c>
      <c r="C17" s="5" t="n">
        <v>1</v>
      </c>
      <c r="D17" s="5" t="n">
        <v>4</v>
      </c>
      <c r="E17" s="5" t="n">
        <v>50</v>
      </c>
      <c r="F17" s="5"/>
      <c r="G17" s="5" t="s">
        <v>52</v>
      </c>
      <c r="H17" s="5" t="s">
        <v>1229</v>
      </c>
      <c r="I17" s="5" t="s">
        <v>37</v>
      </c>
      <c r="J17" s="5" t="n">
        <v>20</v>
      </c>
      <c r="K17" s="5"/>
      <c r="L17" s="5"/>
    </row>
    <row r="18" customFormat="false" ht="15" hidden="false" customHeight="false" outlineLevel="0" collapsed="false">
      <c r="A18" s="5" t="s">
        <v>72</v>
      </c>
      <c r="B18" s="5" t="n">
        <v>1</v>
      </c>
      <c r="C18" s="5" t="n">
        <v>1</v>
      </c>
      <c r="D18" s="5" t="n">
        <v>1</v>
      </c>
      <c r="E18" s="5" t="n">
        <v>300</v>
      </c>
      <c r="F18" s="5"/>
      <c r="G18" s="5" t="s">
        <v>133</v>
      </c>
      <c r="H18" s="5" t="s">
        <v>1222</v>
      </c>
      <c r="I18" s="5" t="s">
        <v>37</v>
      </c>
      <c r="J18" s="5" t="n">
        <v>30</v>
      </c>
      <c r="K18" s="5"/>
      <c r="L18" s="5"/>
    </row>
    <row r="19" customFormat="false" ht="15" hidden="false" customHeight="false" outlineLevel="0" collapsed="false">
      <c r="A19" s="5" t="s">
        <v>72</v>
      </c>
      <c r="B19" s="5" t="n">
        <v>2</v>
      </c>
      <c r="C19" s="5" t="n">
        <v>1</v>
      </c>
      <c r="D19" s="5" t="n">
        <v>4</v>
      </c>
      <c r="E19" s="5" t="n">
        <v>50</v>
      </c>
      <c r="F19" s="5"/>
      <c r="G19" s="5" t="s">
        <v>52</v>
      </c>
      <c r="H19" s="5" t="s">
        <v>1222</v>
      </c>
      <c r="I19" s="5" t="s">
        <v>37</v>
      </c>
      <c r="J19" s="5" t="n">
        <v>20</v>
      </c>
      <c r="K19" s="5"/>
      <c r="L19" s="5"/>
    </row>
    <row r="20" customFormat="false" ht="15" hidden="false" customHeight="false" outlineLevel="0" collapsed="false">
      <c r="A20" s="5" t="s">
        <v>76</v>
      </c>
      <c r="B20" s="5" t="n">
        <v>1</v>
      </c>
      <c r="C20" s="5" t="n">
        <v>1</v>
      </c>
      <c r="D20" s="5" t="n">
        <v>4</v>
      </c>
      <c r="E20" s="5" t="n">
        <v>100</v>
      </c>
      <c r="F20" s="5"/>
      <c r="G20" s="5" t="s">
        <v>52</v>
      </c>
      <c r="H20" s="5" t="s">
        <v>1230</v>
      </c>
      <c r="I20" s="5" t="s">
        <v>37</v>
      </c>
      <c r="J20" s="5" t="n">
        <v>15</v>
      </c>
      <c r="K20" s="5"/>
      <c r="L20" s="5"/>
    </row>
    <row r="21" customFormat="false" ht="15" hidden="false" customHeight="false" outlineLevel="0" collapsed="false">
      <c r="A21" s="5" t="s">
        <v>79</v>
      </c>
      <c r="B21" s="5" t="n">
        <v>1</v>
      </c>
      <c r="C21" s="5" t="n">
        <v>1</v>
      </c>
      <c r="D21" s="5" t="n">
        <v>1</v>
      </c>
      <c r="E21" s="5" t="n">
        <v>200</v>
      </c>
      <c r="F21" s="5"/>
      <c r="G21" s="5" t="s">
        <v>48</v>
      </c>
      <c r="H21" s="5"/>
      <c r="I21" s="5" t="s">
        <v>37</v>
      </c>
      <c r="J21" s="5"/>
      <c r="K21" s="5"/>
      <c r="L21" s="5"/>
    </row>
    <row r="22" customFormat="false" ht="15" hidden="false" customHeight="false" outlineLevel="0" collapsed="false">
      <c r="A22" s="5" t="s">
        <v>79</v>
      </c>
      <c r="B22" s="5" t="n">
        <v>2</v>
      </c>
      <c r="C22" s="5" t="n">
        <v>1</v>
      </c>
      <c r="D22" s="5" t="n">
        <v>1</v>
      </c>
      <c r="E22" s="5" t="n">
        <v>200</v>
      </c>
      <c r="F22" s="5"/>
      <c r="G22" s="5" t="s">
        <v>115</v>
      </c>
      <c r="H22" s="5"/>
      <c r="I22" s="5" t="s">
        <v>37</v>
      </c>
      <c r="J22" s="5"/>
      <c r="K22" s="5"/>
      <c r="L22" s="5"/>
    </row>
    <row r="23" customFormat="false" ht="15" hidden="false" customHeight="false" outlineLevel="0" collapsed="false">
      <c r="A23" s="5" t="s">
        <v>79</v>
      </c>
      <c r="B23" s="5" t="n">
        <v>3</v>
      </c>
      <c r="C23" s="5" t="n">
        <v>1</v>
      </c>
      <c r="D23" s="5" t="n">
        <v>1</v>
      </c>
      <c r="E23" s="5" t="n">
        <v>200</v>
      </c>
      <c r="F23" s="5"/>
      <c r="G23" s="5" t="s">
        <v>133</v>
      </c>
      <c r="H23" s="5" t="s">
        <v>1226</v>
      </c>
      <c r="I23" s="5" t="s">
        <v>37</v>
      </c>
      <c r="J23" s="5"/>
      <c r="K23" s="5" t="s">
        <v>83</v>
      </c>
      <c r="L23" s="5"/>
    </row>
    <row r="24" customFormat="false" ht="15" hidden="false" customHeight="false" outlineLevel="0" collapsed="false">
      <c r="A24" s="5" t="s">
        <v>79</v>
      </c>
      <c r="B24" s="5" t="n">
        <v>4</v>
      </c>
      <c r="C24" s="5" t="n">
        <v>1</v>
      </c>
      <c r="D24" s="5" t="n">
        <v>1</v>
      </c>
      <c r="E24" s="5" t="n">
        <v>200</v>
      </c>
      <c r="F24" s="5"/>
      <c r="G24" s="5" t="s">
        <v>48</v>
      </c>
      <c r="H24" s="5"/>
      <c r="I24" s="5" t="s">
        <v>37</v>
      </c>
      <c r="J24" s="5"/>
      <c r="K24" s="5"/>
      <c r="L24" s="5"/>
    </row>
    <row r="25" customFormat="false" ht="15" hidden="false" customHeight="false" outlineLevel="0" collapsed="false">
      <c r="A25" s="5" t="s">
        <v>84</v>
      </c>
      <c r="B25" s="5" t="n">
        <v>1</v>
      </c>
      <c r="C25" s="5" t="n">
        <v>1</v>
      </c>
      <c r="D25" s="5" t="n">
        <v>6</v>
      </c>
      <c r="E25" s="5" t="n">
        <v>100</v>
      </c>
      <c r="F25" s="5"/>
      <c r="G25" s="5" t="s">
        <v>52</v>
      </c>
      <c r="H25" s="5" t="s">
        <v>1231</v>
      </c>
      <c r="I25" s="5" t="s">
        <v>37</v>
      </c>
      <c r="J25" s="5" t="n">
        <v>15</v>
      </c>
      <c r="K25" s="5"/>
      <c r="L25" s="5"/>
    </row>
    <row r="26" customFormat="false" ht="15" hidden="false" customHeight="false" outlineLevel="0" collapsed="false">
      <c r="A26" s="5" t="s">
        <v>87</v>
      </c>
      <c r="B26" s="5" t="n">
        <v>1</v>
      </c>
      <c r="C26" s="5" t="n">
        <v>1</v>
      </c>
      <c r="D26" s="5" t="n">
        <v>1</v>
      </c>
      <c r="E26" s="5" t="n">
        <v>200</v>
      </c>
      <c r="F26" s="5"/>
      <c r="G26" s="5" t="s">
        <v>48</v>
      </c>
      <c r="H26" s="5"/>
      <c r="I26" s="5" t="s">
        <v>37</v>
      </c>
      <c r="J26" s="5" t="n">
        <v>20</v>
      </c>
      <c r="K26" s="5"/>
      <c r="L26" s="5"/>
    </row>
    <row r="27" customFormat="false" ht="15" hidden="false" customHeight="false" outlineLevel="0" collapsed="false">
      <c r="A27" s="5" t="s">
        <v>87</v>
      </c>
      <c r="B27" s="5" t="n">
        <v>2</v>
      </c>
      <c r="C27" s="5" t="n">
        <v>1</v>
      </c>
      <c r="D27" s="5" t="n">
        <v>4</v>
      </c>
      <c r="E27" s="5" t="n">
        <v>50</v>
      </c>
      <c r="F27" s="5"/>
      <c r="G27" s="5" t="s">
        <v>119</v>
      </c>
      <c r="H27" s="5" t="s">
        <v>1232</v>
      </c>
      <c r="I27" s="5" t="s">
        <v>37</v>
      </c>
      <c r="J27" s="5" t="n">
        <v>15</v>
      </c>
      <c r="K27" s="5"/>
      <c r="L27" s="5"/>
    </row>
    <row r="28" customFormat="false" ht="15" hidden="false" customHeight="false" outlineLevel="0" collapsed="false">
      <c r="A28" s="5" t="s">
        <v>87</v>
      </c>
      <c r="B28" s="5" t="n">
        <v>3</v>
      </c>
      <c r="C28" s="5" t="n">
        <v>1</v>
      </c>
      <c r="D28" s="5" t="n">
        <v>4</v>
      </c>
      <c r="E28" s="5" t="n">
        <v>50</v>
      </c>
      <c r="F28" s="5"/>
      <c r="G28" s="5" t="s">
        <v>119</v>
      </c>
      <c r="H28" s="5" t="s">
        <v>1233</v>
      </c>
      <c r="I28" s="5" t="s">
        <v>37</v>
      </c>
      <c r="J28" s="5" t="n">
        <v>15</v>
      </c>
      <c r="K28" s="5"/>
      <c r="L28" s="5"/>
    </row>
    <row r="29" customFormat="false" ht="15" hidden="false" customHeight="false" outlineLevel="0" collapsed="false">
      <c r="A29" s="5" t="s">
        <v>91</v>
      </c>
      <c r="B29" s="5" t="n">
        <v>1</v>
      </c>
      <c r="C29" s="5" t="n">
        <v>1</v>
      </c>
      <c r="D29" s="5" t="n">
        <v>1</v>
      </c>
      <c r="E29" s="5" t="n">
        <v>300</v>
      </c>
      <c r="F29" s="5"/>
      <c r="G29" s="5" t="s">
        <v>48</v>
      </c>
      <c r="H29" s="5"/>
      <c r="I29" s="5" t="s">
        <v>37</v>
      </c>
      <c r="J29" s="5" t="n">
        <v>20</v>
      </c>
      <c r="K29" s="5"/>
      <c r="L29" s="5"/>
    </row>
    <row r="30" customFormat="false" ht="15" hidden="false" customHeight="false" outlineLevel="0" collapsed="false">
      <c r="A30" s="5" t="s">
        <v>91</v>
      </c>
      <c r="B30" s="5" t="n">
        <v>2</v>
      </c>
      <c r="C30" s="5" t="n">
        <v>1</v>
      </c>
      <c r="D30" s="5" t="n">
        <v>6</v>
      </c>
      <c r="E30" s="5" t="n">
        <v>25</v>
      </c>
      <c r="F30" s="5"/>
      <c r="G30" s="5" t="s">
        <v>123</v>
      </c>
      <c r="H30" s="5" t="s">
        <v>1234</v>
      </c>
      <c r="I30" s="5" t="s">
        <v>37</v>
      </c>
      <c r="J30" s="5" t="n">
        <v>15</v>
      </c>
      <c r="K30" s="5" t="s">
        <v>83</v>
      </c>
      <c r="L30" s="5"/>
    </row>
    <row r="31" customFormat="false" ht="15" hidden="false" customHeight="false" outlineLevel="0" collapsed="false">
      <c r="A31" s="5" t="s">
        <v>91</v>
      </c>
      <c r="B31" s="5" t="n">
        <v>3</v>
      </c>
      <c r="C31" s="5" t="n">
        <v>1</v>
      </c>
      <c r="D31" s="5" t="n">
        <v>4</v>
      </c>
      <c r="E31" s="5" t="n">
        <v>25</v>
      </c>
      <c r="F31" s="5"/>
      <c r="G31" s="5" t="s">
        <v>123</v>
      </c>
      <c r="H31" s="5" t="s">
        <v>1233</v>
      </c>
      <c r="I31" s="5" t="s">
        <v>37</v>
      </c>
      <c r="J31" s="5" t="n">
        <v>20</v>
      </c>
      <c r="K31" s="5"/>
      <c r="L31" s="5"/>
    </row>
    <row r="32" customFormat="false" ht="15" hidden="false" customHeight="false" outlineLevel="0" collapsed="false">
      <c r="A32" s="5" t="s">
        <v>94</v>
      </c>
      <c r="B32" s="5" t="n">
        <v>1</v>
      </c>
      <c r="C32" s="5" t="n">
        <v>1</v>
      </c>
      <c r="D32" s="5" t="n">
        <v>1</v>
      </c>
      <c r="E32" s="5" t="n">
        <v>200</v>
      </c>
      <c r="F32" s="5"/>
      <c r="G32" s="5" t="s">
        <v>48</v>
      </c>
      <c r="H32" s="5"/>
      <c r="I32" s="5" t="s">
        <v>37</v>
      </c>
      <c r="J32" s="5" t="n">
        <v>20</v>
      </c>
      <c r="K32" s="5"/>
      <c r="L32" s="5"/>
    </row>
    <row r="33" customFormat="false" ht="15" hidden="false" customHeight="false" outlineLevel="0" collapsed="false">
      <c r="A33" s="5" t="s">
        <v>94</v>
      </c>
      <c r="B33" s="5" t="n">
        <v>2</v>
      </c>
      <c r="C33" s="5" t="n">
        <v>1</v>
      </c>
      <c r="D33" s="5" t="n">
        <v>4</v>
      </c>
      <c r="E33" s="5" t="n">
        <v>50</v>
      </c>
      <c r="F33" s="5"/>
      <c r="G33" s="5" t="s">
        <v>115</v>
      </c>
      <c r="H33" s="5" t="s">
        <v>1235</v>
      </c>
      <c r="I33" s="5" t="s">
        <v>37</v>
      </c>
      <c r="J33" s="5" t="n">
        <v>15</v>
      </c>
      <c r="K33" s="5"/>
      <c r="L33" s="5"/>
    </row>
    <row r="34" customFormat="false" ht="15" hidden="false" customHeight="false" outlineLevel="0" collapsed="false">
      <c r="A34" s="5" t="s">
        <v>94</v>
      </c>
      <c r="B34" s="5" t="n">
        <v>3</v>
      </c>
      <c r="C34" s="5" t="n">
        <v>1</v>
      </c>
      <c r="D34" s="5" t="n">
        <v>4</v>
      </c>
      <c r="E34" s="5" t="n">
        <v>50</v>
      </c>
      <c r="F34" s="5"/>
      <c r="G34" s="5" t="s">
        <v>115</v>
      </c>
      <c r="H34" s="5" t="s">
        <v>1233</v>
      </c>
      <c r="I34" s="5" t="s">
        <v>37</v>
      </c>
      <c r="J34" s="5" t="n">
        <v>15</v>
      </c>
      <c r="K34" s="5"/>
      <c r="L34" s="5"/>
    </row>
    <row r="35" customFormat="false" ht="15" hidden="false" customHeight="false" outlineLevel="0" collapsed="false">
      <c r="A35" s="5" t="s">
        <v>97</v>
      </c>
      <c r="B35" s="5" t="n">
        <v>1</v>
      </c>
      <c r="C35" s="5" t="n">
        <v>1</v>
      </c>
      <c r="D35" s="5" t="n">
        <v>1</v>
      </c>
      <c r="E35" s="5" t="n">
        <v>400</v>
      </c>
      <c r="F35" s="5"/>
      <c r="G35" s="5" t="s">
        <v>133</v>
      </c>
      <c r="H35" s="5" t="s">
        <v>1222</v>
      </c>
      <c r="I35" s="5" t="s">
        <v>37</v>
      </c>
      <c r="J35" s="5" t="n">
        <v>30</v>
      </c>
      <c r="K35" s="5"/>
      <c r="L35" s="5"/>
    </row>
    <row r="36" customFormat="false" ht="15" hidden="false" customHeight="false" outlineLevel="0" collapsed="false">
      <c r="A36" s="5" t="s">
        <v>97</v>
      </c>
      <c r="B36" s="5" t="n">
        <v>2</v>
      </c>
      <c r="C36" s="5" t="n">
        <v>1</v>
      </c>
      <c r="D36" s="5" t="n">
        <v>4</v>
      </c>
      <c r="E36" s="5" t="n">
        <v>50</v>
      </c>
      <c r="F36" s="5"/>
      <c r="G36" s="5" t="s">
        <v>48</v>
      </c>
      <c r="H36" s="5" t="s">
        <v>1236</v>
      </c>
      <c r="I36" s="5" t="s">
        <v>343</v>
      </c>
      <c r="J36" s="5" t="n">
        <v>20</v>
      </c>
      <c r="K36" s="5"/>
      <c r="L36" s="5"/>
    </row>
    <row r="37" customFormat="false" ht="15" hidden="false" customHeight="false" outlineLevel="0" collapsed="false">
      <c r="A37" s="5" t="s">
        <v>97</v>
      </c>
      <c r="B37" s="5" t="n">
        <v>3</v>
      </c>
      <c r="C37" s="5" t="n">
        <v>1</v>
      </c>
      <c r="D37" s="5" t="n">
        <v>4</v>
      </c>
      <c r="E37" s="5" t="n">
        <v>25</v>
      </c>
      <c r="F37" s="5"/>
      <c r="G37" s="5" t="s">
        <v>133</v>
      </c>
      <c r="H37" s="5" t="s">
        <v>1237</v>
      </c>
      <c r="I37" s="5" t="s">
        <v>149</v>
      </c>
      <c r="J37" s="5" t="n">
        <v>40</v>
      </c>
      <c r="K37" s="5"/>
      <c r="L37" s="5"/>
    </row>
    <row r="38" customFormat="false" ht="15" hidden="false" customHeight="false" outlineLevel="0" collapsed="false">
      <c r="A38" s="5" t="s">
        <v>97</v>
      </c>
      <c r="B38" s="5" t="n">
        <v>4</v>
      </c>
      <c r="C38" s="5" t="n">
        <v>1</v>
      </c>
      <c r="D38" s="5" t="n">
        <v>2</v>
      </c>
      <c r="E38" s="5" t="n">
        <v>15</v>
      </c>
      <c r="F38" s="5"/>
      <c r="G38" s="5" t="s">
        <v>133</v>
      </c>
      <c r="H38" s="5" t="s">
        <v>1238</v>
      </c>
      <c r="I38" s="5" t="s">
        <v>135</v>
      </c>
      <c r="J38" s="5" t="n">
        <v>60</v>
      </c>
      <c r="K38" s="5"/>
      <c r="L38" s="5"/>
    </row>
    <row r="39" customFormat="false" ht="15" hidden="false" customHeight="false" outlineLevel="0" collapsed="false">
      <c r="A39" s="5" t="s">
        <v>103</v>
      </c>
      <c r="B39" s="5" t="n">
        <v>1</v>
      </c>
      <c r="C39" s="5" t="n">
        <v>1</v>
      </c>
      <c r="D39" s="5" t="n">
        <v>1</v>
      </c>
      <c r="E39" s="5" t="n">
        <v>400</v>
      </c>
      <c r="F39" s="5"/>
      <c r="G39" s="5" t="s">
        <v>52</v>
      </c>
      <c r="H39" s="5" t="s">
        <v>1239</v>
      </c>
      <c r="I39" s="5" t="s">
        <v>37</v>
      </c>
      <c r="J39" s="5"/>
      <c r="K39" s="5" t="s">
        <v>83</v>
      </c>
      <c r="L39" s="5"/>
    </row>
    <row r="40" customFormat="false" ht="15" hidden="false" customHeight="false" outlineLevel="0" collapsed="false">
      <c r="A40" s="5" t="s">
        <v>106</v>
      </c>
      <c r="B40" s="5" t="n">
        <v>1</v>
      </c>
      <c r="C40" s="5" t="n">
        <v>1</v>
      </c>
      <c r="D40" s="5" t="n">
        <v>6</v>
      </c>
      <c r="E40" s="5" t="n">
        <v>25</v>
      </c>
      <c r="F40" s="5"/>
      <c r="G40" s="5" t="s">
        <v>48</v>
      </c>
      <c r="H40" s="5" t="s">
        <v>1240</v>
      </c>
      <c r="I40" s="5" t="s">
        <v>108</v>
      </c>
      <c r="J40" s="5" t="n">
        <v>20</v>
      </c>
      <c r="K40" s="5"/>
      <c r="L40" s="5"/>
    </row>
    <row r="41" customFormat="false" ht="15" hidden="false" customHeight="false" outlineLevel="0" collapsed="false">
      <c r="A41" s="5" t="s">
        <v>112</v>
      </c>
      <c r="B41" s="5" t="n">
        <v>1</v>
      </c>
      <c r="C41" s="5" t="n">
        <v>1</v>
      </c>
      <c r="D41" s="5" t="n">
        <v>6</v>
      </c>
      <c r="E41" s="5" t="n">
        <v>25</v>
      </c>
      <c r="F41" s="5"/>
      <c r="G41" s="5" t="s">
        <v>115</v>
      </c>
      <c r="H41" s="5" t="s">
        <v>1240</v>
      </c>
      <c r="I41" s="5" t="s">
        <v>108</v>
      </c>
      <c r="J41" s="5" t="n">
        <v>20</v>
      </c>
      <c r="K41" s="5"/>
      <c r="L41" s="5"/>
    </row>
    <row r="42" customFormat="false" ht="15" hidden="false" customHeight="false" outlineLevel="0" collapsed="false">
      <c r="A42" s="5" t="s">
        <v>116</v>
      </c>
      <c r="B42" s="5" t="n">
        <v>1</v>
      </c>
      <c r="C42" s="5" t="n">
        <v>1</v>
      </c>
      <c r="D42" s="5" t="n">
        <v>6</v>
      </c>
      <c r="E42" s="5" t="n">
        <v>25</v>
      </c>
      <c r="F42" s="5"/>
      <c r="G42" s="5" t="s">
        <v>119</v>
      </c>
      <c r="H42" s="5" t="s">
        <v>1240</v>
      </c>
      <c r="I42" s="5" t="s">
        <v>108</v>
      </c>
      <c r="J42" s="5" t="n">
        <v>20</v>
      </c>
      <c r="K42" s="5"/>
      <c r="L42" s="5"/>
    </row>
    <row r="43" customFormat="false" ht="15" hidden="false" customHeight="false" outlineLevel="0" collapsed="false">
      <c r="A43" s="5" t="s">
        <v>120</v>
      </c>
      <c r="B43" s="5" t="n">
        <v>1</v>
      </c>
      <c r="C43" s="5" t="n">
        <v>1</v>
      </c>
      <c r="D43" s="5" t="n">
        <v>6</v>
      </c>
      <c r="E43" s="5" t="n">
        <v>25</v>
      </c>
      <c r="F43" s="5"/>
      <c r="G43" s="5" t="s">
        <v>123</v>
      </c>
      <c r="H43" s="5" t="s">
        <v>1240</v>
      </c>
      <c r="I43" s="5" t="s">
        <v>108</v>
      </c>
      <c r="J43" s="5" t="n">
        <v>20</v>
      </c>
      <c r="K43" s="5"/>
      <c r="L43" s="5"/>
    </row>
    <row r="44" customFormat="false" ht="15" hidden="false" customHeight="false" outlineLevel="0" collapsed="false">
      <c r="A44" s="5" t="s">
        <v>124</v>
      </c>
      <c r="B44" s="5" t="n">
        <v>1</v>
      </c>
      <c r="C44" s="5" t="n">
        <v>1</v>
      </c>
      <c r="D44" s="5" t="n">
        <v>6</v>
      </c>
      <c r="E44" s="5" t="n">
        <v>25</v>
      </c>
      <c r="F44" s="5"/>
      <c r="G44" s="5" t="s">
        <v>52</v>
      </c>
      <c r="H44" s="5" t="s">
        <v>1240</v>
      </c>
      <c r="I44" s="5" t="s">
        <v>108</v>
      </c>
      <c r="J44" s="5" t="n">
        <v>20</v>
      </c>
      <c r="K44" s="5"/>
      <c r="L44" s="5"/>
    </row>
    <row r="45" customFormat="false" ht="15" hidden="false" customHeight="false" outlineLevel="0" collapsed="false">
      <c r="A45" s="5" t="s">
        <v>127</v>
      </c>
      <c r="B45" s="5" t="n">
        <v>1</v>
      </c>
      <c r="C45" s="5" t="n">
        <v>1</v>
      </c>
      <c r="D45" s="5" t="n">
        <v>4</v>
      </c>
      <c r="E45" s="5" t="n">
        <v>50</v>
      </c>
      <c r="F45" s="5"/>
      <c r="G45" s="5" t="s">
        <v>48</v>
      </c>
      <c r="H45" s="5" t="s">
        <v>1241</v>
      </c>
      <c r="I45" s="5" t="s">
        <v>108</v>
      </c>
      <c r="J45" s="5" t="n">
        <v>20</v>
      </c>
      <c r="K45" s="5"/>
      <c r="L45" s="5"/>
    </row>
    <row r="46" customFormat="false" ht="15" hidden="false" customHeight="false" outlineLevel="0" collapsed="false">
      <c r="A46" s="5" t="s">
        <v>130</v>
      </c>
      <c r="B46" s="5" t="n">
        <v>1</v>
      </c>
      <c r="C46" s="5" t="n">
        <v>1</v>
      </c>
      <c r="D46" s="5" t="n">
        <v>4</v>
      </c>
      <c r="E46" s="5" t="n">
        <v>50</v>
      </c>
      <c r="F46" s="5"/>
      <c r="G46" s="5" t="s">
        <v>133</v>
      </c>
      <c r="H46" s="5" t="s">
        <v>1242</v>
      </c>
      <c r="I46" s="5" t="s">
        <v>108</v>
      </c>
      <c r="J46" s="5" t="n">
        <v>20</v>
      </c>
      <c r="K46" s="5"/>
      <c r="L46" s="5"/>
    </row>
    <row r="47" customFormat="false" ht="15" hidden="false" customHeight="false" outlineLevel="0" collapsed="false">
      <c r="A47" s="5" t="s">
        <v>134</v>
      </c>
      <c r="B47" s="5" t="n">
        <v>1</v>
      </c>
      <c r="C47" s="5" t="n">
        <v>1</v>
      </c>
      <c r="D47" s="5" t="n">
        <v>8</v>
      </c>
      <c r="E47" s="5" t="n">
        <v>25</v>
      </c>
      <c r="F47" s="5"/>
      <c r="G47" s="5" t="s">
        <v>133</v>
      </c>
      <c r="H47" s="5" t="s">
        <v>1243</v>
      </c>
      <c r="I47" s="5" t="s">
        <v>135</v>
      </c>
      <c r="J47" s="5" t="n">
        <v>20</v>
      </c>
      <c r="K47" s="5"/>
      <c r="L47" s="5"/>
    </row>
    <row r="48" customFormat="false" ht="15" hidden="false" customHeight="false" outlineLevel="0" collapsed="false">
      <c r="A48" s="5" t="s">
        <v>138</v>
      </c>
      <c r="B48" s="5" t="n">
        <v>1</v>
      </c>
      <c r="C48" s="5" t="n">
        <v>1</v>
      </c>
      <c r="D48" s="5" t="n">
        <v>4</v>
      </c>
      <c r="E48" s="5" t="n">
        <v>50</v>
      </c>
      <c r="F48" s="5"/>
      <c r="G48" s="5" t="s">
        <v>133</v>
      </c>
      <c r="H48" s="5" t="s">
        <v>1244</v>
      </c>
      <c r="I48" s="5" t="s">
        <v>139</v>
      </c>
      <c r="J48" s="5" t="n">
        <v>15</v>
      </c>
      <c r="K48" s="5"/>
      <c r="L48" s="5"/>
    </row>
    <row r="49" customFormat="false" ht="15" hidden="false" customHeight="false" outlineLevel="0" collapsed="false">
      <c r="A49" s="5" t="s">
        <v>142</v>
      </c>
      <c r="B49" s="5" t="n">
        <v>1</v>
      </c>
      <c r="C49" s="5" t="n">
        <v>1</v>
      </c>
      <c r="D49" s="5" t="n">
        <v>6</v>
      </c>
      <c r="E49" s="5" t="n">
        <v>15</v>
      </c>
      <c r="F49" s="5"/>
      <c r="G49" s="5" t="s">
        <v>133</v>
      </c>
      <c r="H49" s="5" t="s">
        <v>1245</v>
      </c>
      <c r="I49" s="5" t="s">
        <v>135</v>
      </c>
      <c r="J49" s="5" t="n">
        <v>45</v>
      </c>
      <c r="K49" s="5"/>
      <c r="L49" s="5"/>
    </row>
    <row r="50" customFormat="false" ht="15" hidden="false" customHeight="false" outlineLevel="0" collapsed="false">
      <c r="A50" s="5" t="s">
        <v>145</v>
      </c>
      <c r="B50" s="5" t="n">
        <v>1</v>
      </c>
      <c r="C50" s="5" t="n">
        <v>1</v>
      </c>
      <c r="D50" s="5" t="n">
        <v>6</v>
      </c>
      <c r="E50" s="5" t="n">
        <v>15</v>
      </c>
      <c r="F50" s="5"/>
      <c r="G50" s="5" t="s">
        <v>123</v>
      </c>
      <c r="H50" s="5" t="s">
        <v>1246</v>
      </c>
      <c r="I50" s="5" t="s">
        <v>135</v>
      </c>
      <c r="J50" s="5" t="n">
        <v>40</v>
      </c>
      <c r="K50" s="5"/>
      <c r="L50" s="5"/>
    </row>
    <row r="51" customFormat="false" ht="15" hidden="false" customHeight="false" outlineLevel="0" collapsed="false">
      <c r="A51" s="5" t="s">
        <v>148</v>
      </c>
      <c r="B51" s="5" t="n">
        <v>1</v>
      </c>
      <c r="C51" s="5" t="n">
        <v>1</v>
      </c>
      <c r="D51" s="5" t="n">
        <v>4</v>
      </c>
      <c r="E51" s="5" t="n">
        <v>25</v>
      </c>
      <c r="F51" s="5"/>
      <c r="G51" s="5" t="s">
        <v>133</v>
      </c>
      <c r="H51" s="5" t="s">
        <v>1247</v>
      </c>
      <c r="I51" s="5" t="s">
        <v>149</v>
      </c>
      <c r="J51" s="5" t="n">
        <v>40</v>
      </c>
      <c r="K51" s="5"/>
      <c r="L51" s="5"/>
    </row>
    <row r="52" customFormat="false" ht="15" hidden="false" customHeight="false" outlineLevel="0" collapsed="false">
      <c r="A52" s="5" t="s">
        <v>152</v>
      </c>
      <c r="B52" s="5" t="n">
        <v>1</v>
      </c>
      <c r="C52" s="5" t="n">
        <v>1</v>
      </c>
      <c r="D52" s="5" t="n">
        <v>6</v>
      </c>
      <c r="E52" s="5" t="n">
        <v>50</v>
      </c>
      <c r="F52" s="5"/>
      <c r="G52" s="5" t="s">
        <v>48</v>
      </c>
      <c r="H52" s="5" t="s">
        <v>1248</v>
      </c>
      <c r="I52" s="5" t="s">
        <v>153</v>
      </c>
      <c r="J52" s="5" t="n">
        <v>15</v>
      </c>
      <c r="K52" s="5"/>
      <c r="L52" s="5"/>
    </row>
    <row r="53" customFormat="false" ht="15" hidden="false" customHeight="false" outlineLevel="0" collapsed="false">
      <c r="A53" s="5" t="s">
        <v>156</v>
      </c>
      <c r="B53" s="5" t="n">
        <v>1</v>
      </c>
      <c r="C53" s="5" t="n">
        <v>1</v>
      </c>
      <c r="D53" s="5" t="n">
        <v>6</v>
      </c>
      <c r="E53" s="5" t="n">
        <v>25</v>
      </c>
      <c r="F53" s="5"/>
      <c r="G53" s="5" t="s">
        <v>48</v>
      </c>
      <c r="H53" s="5" t="s">
        <v>1249</v>
      </c>
      <c r="I53" s="5" t="s">
        <v>153</v>
      </c>
      <c r="J53" s="5" t="n">
        <v>20</v>
      </c>
      <c r="K53" s="5"/>
      <c r="L53" s="5"/>
    </row>
    <row r="54" customFormat="false" ht="15" hidden="false" customHeight="false" outlineLevel="0" collapsed="false">
      <c r="A54" s="5" t="s">
        <v>159</v>
      </c>
      <c r="B54" s="5" t="n">
        <v>1</v>
      </c>
      <c r="C54" s="5" t="n">
        <v>1</v>
      </c>
      <c r="D54" s="5" t="n">
        <v>6</v>
      </c>
      <c r="E54" s="5" t="n">
        <v>50</v>
      </c>
      <c r="F54" s="5"/>
      <c r="G54" s="5" t="s">
        <v>48</v>
      </c>
      <c r="H54" s="5" t="s">
        <v>1250</v>
      </c>
      <c r="I54" s="5" t="s">
        <v>153</v>
      </c>
      <c r="J54" s="5" t="n">
        <v>15</v>
      </c>
      <c r="K54" s="5"/>
      <c r="L54" s="5"/>
    </row>
    <row r="55" customFormat="false" ht="15" hidden="false" customHeight="false" outlineLevel="0" collapsed="false">
      <c r="A55" s="5" t="s">
        <v>162</v>
      </c>
      <c r="B55" s="5" t="n">
        <v>1</v>
      </c>
      <c r="C55" s="5" t="n">
        <v>1</v>
      </c>
      <c r="D55" s="5" t="n">
        <v>6</v>
      </c>
      <c r="E55" s="5" t="n">
        <v>25</v>
      </c>
      <c r="F55" s="5"/>
      <c r="G55" s="5" t="s">
        <v>48</v>
      </c>
      <c r="H55" s="5" t="s">
        <v>1251</v>
      </c>
      <c r="I55" s="5" t="s">
        <v>153</v>
      </c>
      <c r="J55" s="5" t="n">
        <v>20</v>
      </c>
      <c r="K55" s="5"/>
      <c r="L55" s="5"/>
    </row>
    <row r="56" customFormat="false" ht="15" hidden="false" customHeight="false" outlineLevel="0" collapsed="false">
      <c r="A56" s="5" t="s">
        <v>165</v>
      </c>
      <c r="B56" s="5" t="n">
        <v>1</v>
      </c>
      <c r="C56" s="5" t="n">
        <v>1</v>
      </c>
      <c r="D56" s="5" t="n">
        <v>6</v>
      </c>
      <c r="E56" s="5" t="n">
        <v>50</v>
      </c>
      <c r="F56" s="5"/>
      <c r="G56" s="5" t="s">
        <v>48</v>
      </c>
      <c r="H56" s="5" t="s">
        <v>1252</v>
      </c>
      <c r="I56" s="5" t="s">
        <v>153</v>
      </c>
      <c r="J56" s="5" t="n">
        <v>15</v>
      </c>
      <c r="K56" s="5" t="s">
        <v>83</v>
      </c>
      <c r="L56" s="5"/>
    </row>
    <row r="57" customFormat="false" ht="15" hidden="false" customHeight="false" outlineLevel="0" collapsed="false">
      <c r="A57" s="5" t="s">
        <v>168</v>
      </c>
      <c r="B57" s="5" t="n">
        <v>1</v>
      </c>
      <c r="C57" s="5" t="n">
        <v>1</v>
      </c>
      <c r="D57" s="5" t="n">
        <v>6</v>
      </c>
      <c r="E57" s="5" t="n">
        <v>25</v>
      </c>
      <c r="F57" s="5"/>
      <c r="G57" s="5" t="s">
        <v>48</v>
      </c>
      <c r="H57" s="5" t="s">
        <v>1253</v>
      </c>
      <c r="I57" s="5" t="s">
        <v>153</v>
      </c>
      <c r="J57" s="5" t="n">
        <v>20</v>
      </c>
      <c r="K57" s="5" t="s">
        <v>83</v>
      </c>
      <c r="L57" s="5"/>
    </row>
    <row r="58" customFormat="false" ht="15" hidden="false" customHeight="false" outlineLevel="0" collapsed="false">
      <c r="A58" s="5" t="s">
        <v>171</v>
      </c>
      <c r="B58" s="5" t="n">
        <v>1</v>
      </c>
      <c r="C58" s="5" t="n">
        <v>1</v>
      </c>
      <c r="D58" s="5" t="n">
        <v>6</v>
      </c>
      <c r="E58" s="5" t="n">
        <v>50</v>
      </c>
      <c r="F58" s="5"/>
      <c r="G58" s="5" t="s">
        <v>48</v>
      </c>
      <c r="H58" s="5" t="s">
        <v>1254</v>
      </c>
      <c r="I58" s="5" t="s">
        <v>153</v>
      </c>
      <c r="J58" s="5" t="n">
        <v>15</v>
      </c>
      <c r="K58" s="5"/>
      <c r="L58" s="5"/>
    </row>
    <row r="59" customFormat="false" ht="15" hidden="false" customHeight="false" outlineLevel="0" collapsed="false">
      <c r="A59" s="5" t="s">
        <v>174</v>
      </c>
      <c r="B59" s="5" t="n">
        <v>1</v>
      </c>
      <c r="C59" s="5" t="n">
        <v>1</v>
      </c>
      <c r="D59" s="5" t="n">
        <v>6</v>
      </c>
      <c r="E59" s="5" t="n">
        <v>25</v>
      </c>
      <c r="F59" s="5"/>
      <c r="G59" s="5" t="s">
        <v>48</v>
      </c>
      <c r="H59" s="5" t="s">
        <v>1255</v>
      </c>
      <c r="I59" s="5" t="s">
        <v>153</v>
      </c>
      <c r="J59" s="5" t="n">
        <v>20</v>
      </c>
      <c r="K59" s="5"/>
      <c r="L59" s="5"/>
    </row>
    <row r="60" customFormat="false" ht="15" hidden="false" customHeight="false" outlineLevel="0" collapsed="false">
      <c r="A60" s="5" t="s">
        <v>177</v>
      </c>
      <c r="B60" s="5" t="n">
        <v>1</v>
      </c>
      <c r="C60" s="5" t="n">
        <v>1</v>
      </c>
      <c r="D60" s="5" t="n">
        <v>6</v>
      </c>
      <c r="E60" s="5" t="n">
        <v>50</v>
      </c>
      <c r="F60" s="5"/>
      <c r="G60" s="5" t="s">
        <v>48</v>
      </c>
      <c r="H60" s="5" t="s">
        <v>1256</v>
      </c>
      <c r="I60" s="5" t="s">
        <v>153</v>
      </c>
      <c r="J60" s="5" t="n">
        <v>15</v>
      </c>
      <c r="K60" s="5"/>
      <c r="L60" s="5"/>
    </row>
    <row r="61" customFormat="false" ht="15" hidden="false" customHeight="false" outlineLevel="0" collapsed="false">
      <c r="A61" s="5" t="s">
        <v>180</v>
      </c>
      <c r="B61" s="5" t="n">
        <v>1</v>
      </c>
      <c r="C61" s="5" t="n">
        <v>1</v>
      </c>
      <c r="D61" s="5" t="n">
        <v>6</v>
      </c>
      <c r="E61" s="5" t="n">
        <v>25</v>
      </c>
      <c r="F61" s="5"/>
      <c r="G61" s="5" t="s">
        <v>48</v>
      </c>
      <c r="H61" s="5" t="s">
        <v>1257</v>
      </c>
      <c r="I61" s="5" t="s">
        <v>153</v>
      </c>
      <c r="J61" s="5" t="n">
        <v>20</v>
      </c>
      <c r="K61" s="5"/>
      <c r="L61" s="5"/>
    </row>
    <row r="62" customFormat="false" ht="15" hidden="false" customHeight="false" outlineLevel="0" collapsed="false">
      <c r="A62" s="5" t="s">
        <v>183</v>
      </c>
      <c r="B62" s="5" t="n">
        <v>1</v>
      </c>
      <c r="C62" s="5" t="n">
        <v>1</v>
      </c>
      <c r="D62" s="5" t="n">
        <v>6</v>
      </c>
      <c r="E62" s="5" t="n">
        <v>50</v>
      </c>
      <c r="F62" s="5"/>
      <c r="G62" s="5" t="s">
        <v>48</v>
      </c>
      <c r="H62" s="5" t="s">
        <v>1258</v>
      </c>
      <c r="I62" s="5" t="s">
        <v>153</v>
      </c>
      <c r="J62" s="5" t="n">
        <v>15</v>
      </c>
      <c r="K62" s="5"/>
      <c r="L62" s="5"/>
    </row>
    <row r="63" customFormat="false" ht="15" hidden="false" customHeight="false" outlineLevel="0" collapsed="false">
      <c r="A63" s="5" t="s">
        <v>186</v>
      </c>
      <c r="B63" s="5" t="n">
        <v>1</v>
      </c>
      <c r="C63" s="5" t="n">
        <v>1</v>
      </c>
      <c r="D63" s="5" t="n">
        <v>6</v>
      </c>
      <c r="E63" s="5" t="n">
        <v>25</v>
      </c>
      <c r="F63" s="5"/>
      <c r="G63" s="5" t="s">
        <v>48</v>
      </c>
      <c r="H63" s="5" t="s">
        <v>1259</v>
      </c>
      <c r="I63" s="5" t="s">
        <v>153</v>
      </c>
      <c r="J63" s="5" t="n">
        <v>20</v>
      </c>
      <c r="K63" s="5"/>
      <c r="L63" s="5"/>
    </row>
    <row r="64" customFormat="false" ht="15" hidden="false" customHeight="false" outlineLevel="0" collapsed="false">
      <c r="A64" s="5" t="s">
        <v>189</v>
      </c>
      <c r="B64" s="5" t="n">
        <v>1</v>
      </c>
      <c r="C64" s="5" t="n">
        <v>1</v>
      </c>
      <c r="D64" s="5" t="n">
        <v>6</v>
      </c>
      <c r="E64" s="5" t="n">
        <v>50</v>
      </c>
      <c r="F64" s="5"/>
      <c r="G64" s="5" t="s">
        <v>48</v>
      </c>
      <c r="H64" s="5" t="s">
        <v>1260</v>
      </c>
      <c r="I64" s="5" t="s">
        <v>153</v>
      </c>
      <c r="J64" s="5" t="n">
        <v>15</v>
      </c>
      <c r="K64" s="5"/>
      <c r="L64" s="5"/>
    </row>
    <row r="65" customFormat="false" ht="15" hidden="false" customHeight="false" outlineLevel="0" collapsed="false">
      <c r="A65" s="5" t="s">
        <v>192</v>
      </c>
      <c r="B65" s="5" t="n">
        <v>1</v>
      </c>
      <c r="C65" s="5" t="n">
        <v>1</v>
      </c>
      <c r="D65" s="5" t="n">
        <v>6</v>
      </c>
      <c r="E65" s="5" t="n">
        <v>25</v>
      </c>
      <c r="F65" s="5"/>
      <c r="G65" s="5" t="s">
        <v>48</v>
      </c>
      <c r="H65" s="5" t="s">
        <v>1261</v>
      </c>
      <c r="I65" s="5" t="s">
        <v>153</v>
      </c>
      <c r="J65" s="5" t="n">
        <v>20</v>
      </c>
      <c r="K65" s="5"/>
      <c r="L65" s="5"/>
    </row>
    <row r="66" customFormat="false" ht="15" hidden="false" customHeight="false" outlineLevel="0" collapsed="false">
      <c r="A66" s="5" t="s">
        <v>195</v>
      </c>
      <c r="B66" s="5" t="n">
        <v>1</v>
      </c>
      <c r="C66" s="5" t="n">
        <v>1</v>
      </c>
      <c r="D66" s="5" t="n">
        <v>6</v>
      </c>
      <c r="E66" s="5" t="n">
        <v>50</v>
      </c>
      <c r="F66" s="5"/>
      <c r="G66" s="5" t="s">
        <v>48</v>
      </c>
      <c r="H66" s="5" t="s">
        <v>1262</v>
      </c>
      <c r="I66" s="5" t="s">
        <v>153</v>
      </c>
      <c r="J66" s="5" t="n">
        <v>15</v>
      </c>
      <c r="K66" s="5"/>
      <c r="L66" s="5"/>
    </row>
    <row r="67" customFormat="false" ht="15" hidden="false" customHeight="false" outlineLevel="0" collapsed="false">
      <c r="A67" s="5" t="s">
        <v>198</v>
      </c>
      <c r="B67" s="5" t="n">
        <v>1</v>
      </c>
      <c r="C67" s="5" t="n">
        <v>1</v>
      </c>
      <c r="D67" s="5" t="n">
        <v>6</v>
      </c>
      <c r="E67" s="5" t="n">
        <v>25</v>
      </c>
      <c r="F67" s="5"/>
      <c r="G67" s="5" t="s">
        <v>48</v>
      </c>
      <c r="H67" s="5" t="s">
        <v>1263</v>
      </c>
      <c r="I67" s="5" t="s">
        <v>153</v>
      </c>
      <c r="J67" s="5" t="n">
        <v>20</v>
      </c>
      <c r="K67" s="5"/>
      <c r="L67" s="5"/>
    </row>
    <row r="68" customFormat="false" ht="15" hidden="false" customHeight="false" outlineLevel="0" collapsed="false">
      <c r="A68" s="5" t="s">
        <v>201</v>
      </c>
      <c r="B68" s="5" t="n">
        <v>1</v>
      </c>
      <c r="C68" s="5" t="n">
        <v>1</v>
      </c>
      <c r="D68" s="5" t="n">
        <v>6</v>
      </c>
      <c r="E68" s="5" t="n">
        <v>50</v>
      </c>
      <c r="F68" s="5"/>
      <c r="G68" s="5" t="s">
        <v>115</v>
      </c>
      <c r="H68" s="5" t="s">
        <v>1264</v>
      </c>
      <c r="I68" s="5" t="s">
        <v>153</v>
      </c>
      <c r="J68" s="5" t="n">
        <v>15</v>
      </c>
      <c r="K68" s="5"/>
      <c r="L68" s="5"/>
    </row>
    <row r="69" customFormat="false" ht="15" hidden="false" customHeight="false" outlineLevel="0" collapsed="false">
      <c r="A69" s="5" t="s">
        <v>204</v>
      </c>
      <c r="B69" s="5" t="n">
        <v>1</v>
      </c>
      <c r="C69" s="5" t="n">
        <v>1</v>
      </c>
      <c r="D69" s="5" t="n">
        <v>6</v>
      </c>
      <c r="E69" s="5" t="n">
        <v>25</v>
      </c>
      <c r="F69" s="5"/>
      <c r="G69" s="5" t="s">
        <v>115</v>
      </c>
      <c r="H69" s="5" t="s">
        <v>1265</v>
      </c>
      <c r="I69" s="5" t="s">
        <v>153</v>
      </c>
      <c r="J69" s="5" t="n">
        <v>20</v>
      </c>
      <c r="K69" s="5"/>
      <c r="L69" s="5"/>
    </row>
    <row r="70" customFormat="false" ht="15" hidden="false" customHeight="false" outlineLevel="0" collapsed="false">
      <c r="A70" s="5" t="s">
        <v>207</v>
      </c>
      <c r="B70" s="5" t="n">
        <v>1</v>
      </c>
      <c r="C70" s="5" t="n">
        <v>1</v>
      </c>
      <c r="D70" s="5" t="n">
        <v>6</v>
      </c>
      <c r="E70" s="5" t="n">
        <v>50</v>
      </c>
      <c r="F70" s="5"/>
      <c r="G70" s="5" t="s">
        <v>115</v>
      </c>
      <c r="H70" s="5" t="s">
        <v>1266</v>
      </c>
      <c r="I70" s="5" t="s">
        <v>153</v>
      </c>
      <c r="J70" s="5" t="n">
        <v>15</v>
      </c>
      <c r="K70" s="5"/>
      <c r="L70" s="5"/>
    </row>
    <row r="71" customFormat="false" ht="15" hidden="false" customHeight="false" outlineLevel="0" collapsed="false">
      <c r="A71" s="5" t="s">
        <v>210</v>
      </c>
      <c r="B71" s="5" t="n">
        <v>1</v>
      </c>
      <c r="C71" s="5" t="n">
        <v>1</v>
      </c>
      <c r="D71" s="5" t="n">
        <v>6</v>
      </c>
      <c r="E71" s="5" t="n">
        <v>25</v>
      </c>
      <c r="F71" s="5"/>
      <c r="G71" s="5" t="s">
        <v>115</v>
      </c>
      <c r="H71" s="5" t="s">
        <v>1267</v>
      </c>
      <c r="I71" s="5" t="s">
        <v>153</v>
      </c>
      <c r="J71" s="5" t="n">
        <v>20</v>
      </c>
      <c r="K71" s="5"/>
      <c r="L71" s="5"/>
    </row>
    <row r="72" customFormat="false" ht="15" hidden="false" customHeight="false" outlineLevel="0" collapsed="false">
      <c r="A72" s="5" t="s">
        <v>213</v>
      </c>
      <c r="B72" s="5" t="n">
        <v>1</v>
      </c>
      <c r="C72" s="5" t="n">
        <v>1</v>
      </c>
      <c r="D72" s="5" t="n">
        <v>6</v>
      </c>
      <c r="E72" s="5" t="n">
        <v>50</v>
      </c>
      <c r="F72" s="5"/>
      <c r="G72" s="5" t="s">
        <v>115</v>
      </c>
      <c r="H72" s="5" t="s">
        <v>1268</v>
      </c>
      <c r="I72" s="5" t="s">
        <v>153</v>
      </c>
      <c r="J72" s="5" t="n">
        <v>15</v>
      </c>
      <c r="K72" s="5"/>
      <c r="L72" s="5"/>
    </row>
    <row r="73" customFormat="false" ht="15" hidden="false" customHeight="false" outlineLevel="0" collapsed="false">
      <c r="A73" s="5" t="s">
        <v>216</v>
      </c>
      <c r="B73" s="5" t="n">
        <v>1</v>
      </c>
      <c r="C73" s="5" t="n">
        <v>1</v>
      </c>
      <c r="D73" s="5" t="n">
        <v>6</v>
      </c>
      <c r="E73" s="5" t="n">
        <v>25</v>
      </c>
      <c r="F73" s="5"/>
      <c r="G73" s="5" t="s">
        <v>115</v>
      </c>
      <c r="H73" s="5" t="s">
        <v>1269</v>
      </c>
      <c r="I73" s="5" t="s">
        <v>153</v>
      </c>
      <c r="J73" s="5" t="n">
        <v>20</v>
      </c>
      <c r="K73" s="5"/>
      <c r="L73" s="5"/>
    </row>
    <row r="74" customFormat="false" ht="15" hidden="false" customHeight="false" outlineLevel="0" collapsed="false">
      <c r="A74" s="5" t="s">
        <v>219</v>
      </c>
      <c r="B74" s="5" t="n">
        <v>1</v>
      </c>
      <c r="C74" s="5" t="n">
        <v>1</v>
      </c>
      <c r="D74" s="5" t="n">
        <v>6</v>
      </c>
      <c r="E74" s="5" t="n">
        <v>50</v>
      </c>
      <c r="F74" s="5"/>
      <c r="G74" s="5" t="s">
        <v>115</v>
      </c>
      <c r="H74" s="5" t="s">
        <v>1270</v>
      </c>
      <c r="I74" s="5" t="s">
        <v>153</v>
      </c>
      <c r="J74" s="5" t="n">
        <v>15</v>
      </c>
      <c r="K74" s="5"/>
      <c r="L74" s="5"/>
    </row>
    <row r="75" customFormat="false" ht="15" hidden="false" customHeight="false" outlineLevel="0" collapsed="false">
      <c r="A75" s="5" t="s">
        <v>222</v>
      </c>
      <c r="B75" s="5" t="n">
        <v>1</v>
      </c>
      <c r="C75" s="5" t="n">
        <v>1</v>
      </c>
      <c r="D75" s="5" t="n">
        <v>6</v>
      </c>
      <c r="E75" s="5" t="n">
        <v>25</v>
      </c>
      <c r="F75" s="5"/>
      <c r="G75" s="5" t="s">
        <v>115</v>
      </c>
      <c r="H75" s="5" t="s">
        <v>1271</v>
      </c>
      <c r="I75" s="5" t="s">
        <v>153</v>
      </c>
      <c r="J75" s="5" t="n">
        <v>20</v>
      </c>
      <c r="K75" s="5"/>
      <c r="L75" s="5"/>
    </row>
    <row r="76" customFormat="false" ht="15" hidden="false" customHeight="false" outlineLevel="0" collapsed="false">
      <c r="A76" s="5" t="s">
        <v>225</v>
      </c>
      <c r="B76" s="5" t="n">
        <v>1</v>
      </c>
      <c r="C76" s="5" t="n">
        <v>1</v>
      </c>
      <c r="D76" s="5" t="n">
        <v>6</v>
      </c>
      <c r="E76" s="5" t="n">
        <v>50</v>
      </c>
      <c r="F76" s="5"/>
      <c r="G76" s="5" t="s">
        <v>115</v>
      </c>
      <c r="H76" s="5" t="s">
        <v>1272</v>
      </c>
      <c r="I76" s="5" t="s">
        <v>153</v>
      </c>
      <c r="J76" s="5" t="n">
        <v>15</v>
      </c>
      <c r="K76" s="5"/>
      <c r="L76" s="5"/>
    </row>
    <row r="77" customFormat="false" ht="15" hidden="false" customHeight="false" outlineLevel="0" collapsed="false">
      <c r="A77" s="5" t="s">
        <v>228</v>
      </c>
      <c r="B77" s="5" t="n">
        <v>1</v>
      </c>
      <c r="C77" s="5" t="n">
        <v>1</v>
      </c>
      <c r="D77" s="5" t="n">
        <v>6</v>
      </c>
      <c r="E77" s="5" t="n">
        <v>25</v>
      </c>
      <c r="F77" s="5"/>
      <c r="G77" s="5" t="s">
        <v>115</v>
      </c>
      <c r="H77" s="5" t="s">
        <v>1273</v>
      </c>
      <c r="I77" s="5" t="s">
        <v>153</v>
      </c>
      <c r="J77" s="5" t="n">
        <v>20</v>
      </c>
      <c r="K77" s="5"/>
      <c r="L77" s="5"/>
    </row>
    <row r="78" customFormat="false" ht="15" hidden="false" customHeight="false" outlineLevel="0" collapsed="false">
      <c r="A78" s="5" t="s">
        <v>231</v>
      </c>
      <c r="B78" s="5" t="n">
        <v>1</v>
      </c>
      <c r="C78" s="5" t="n">
        <v>1</v>
      </c>
      <c r="D78" s="5" t="n">
        <v>6</v>
      </c>
      <c r="E78" s="5" t="n">
        <v>50</v>
      </c>
      <c r="F78" s="5"/>
      <c r="G78" s="5" t="s">
        <v>115</v>
      </c>
      <c r="H78" s="5" t="s">
        <v>1274</v>
      </c>
      <c r="I78" s="5" t="s">
        <v>153</v>
      </c>
      <c r="J78" s="5" t="n">
        <v>15</v>
      </c>
      <c r="K78" s="5"/>
      <c r="L78" s="5"/>
    </row>
    <row r="79" customFormat="false" ht="15" hidden="false" customHeight="false" outlineLevel="0" collapsed="false">
      <c r="A79" s="5" t="s">
        <v>234</v>
      </c>
      <c r="B79" s="5" t="n">
        <v>1</v>
      </c>
      <c r="C79" s="5" t="n">
        <v>1</v>
      </c>
      <c r="D79" s="5" t="n">
        <v>6</v>
      </c>
      <c r="E79" s="5" t="n">
        <v>25</v>
      </c>
      <c r="F79" s="5"/>
      <c r="G79" s="5" t="s">
        <v>115</v>
      </c>
      <c r="H79" s="5" t="s">
        <v>1275</v>
      </c>
      <c r="I79" s="5" t="s">
        <v>153</v>
      </c>
      <c r="J79" s="5" t="n">
        <v>20</v>
      </c>
      <c r="K79" s="5"/>
      <c r="L79" s="5"/>
    </row>
    <row r="80" customFormat="false" ht="15" hidden="false" customHeight="false" outlineLevel="0" collapsed="false">
      <c r="A80" s="5" t="s">
        <v>237</v>
      </c>
      <c r="B80" s="5" t="n">
        <v>1</v>
      </c>
      <c r="C80" s="5" t="n">
        <v>1</v>
      </c>
      <c r="D80" s="5" t="n">
        <v>6</v>
      </c>
      <c r="E80" s="5" t="n">
        <v>50</v>
      </c>
      <c r="F80" s="5"/>
      <c r="G80" s="5" t="s">
        <v>119</v>
      </c>
      <c r="H80" s="5" t="s">
        <v>1276</v>
      </c>
      <c r="I80" s="5" t="s">
        <v>153</v>
      </c>
      <c r="J80" s="5" t="n">
        <v>15</v>
      </c>
      <c r="K80" s="5"/>
      <c r="L80" s="5"/>
    </row>
    <row r="81" customFormat="false" ht="15" hidden="false" customHeight="false" outlineLevel="0" collapsed="false">
      <c r="A81" s="5" t="s">
        <v>240</v>
      </c>
      <c r="B81" s="5" t="n">
        <v>1</v>
      </c>
      <c r="C81" s="5" t="n">
        <v>1</v>
      </c>
      <c r="D81" s="5" t="n">
        <v>6</v>
      </c>
      <c r="E81" s="5" t="n">
        <v>25</v>
      </c>
      <c r="F81" s="5"/>
      <c r="G81" s="5" t="s">
        <v>119</v>
      </c>
      <c r="H81" s="5" t="s">
        <v>1277</v>
      </c>
      <c r="I81" s="5" t="s">
        <v>153</v>
      </c>
      <c r="J81" s="5" t="n">
        <v>20</v>
      </c>
      <c r="K81" s="5"/>
      <c r="L81" s="5"/>
    </row>
    <row r="82" customFormat="false" ht="15" hidden="false" customHeight="false" outlineLevel="0" collapsed="false">
      <c r="A82" s="5" t="s">
        <v>243</v>
      </c>
      <c r="B82" s="5" t="n">
        <v>1</v>
      </c>
      <c r="C82" s="5" t="n">
        <v>1</v>
      </c>
      <c r="D82" s="5" t="n">
        <v>6</v>
      </c>
      <c r="E82" s="5" t="n">
        <v>50</v>
      </c>
      <c r="F82" s="5"/>
      <c r="G82" s="5" t="s">
        <v>119</v>
      </c>
      <c r="H82" s="5" t="s">
        <v>1278</v>
      </c>
      <c r="I82" s="5" t="s">
        <v>153</v>
      </c>
      <c r="J82" s="5" t="n">
        <v>15</v>
      </c>
      <c r="K82" s="5"/>
      <c r="L82" s="5"/>
    </row>
    <row r="83" customFormat="false" ht="15" hidden="false" customHeight="false" outlineLevel="0" collapsed="false">
      <c r="A83" s="5" t="s">
        <v>246</v>
      </c>
      <c r="B83" s="5" t="n">
        <v>1</v>
      </c>
      <c r="C83" s="5" t="n">
        <v>1</v>
      </c>
      <c r="D83" s="5" t="n">
        <v>6</v>
      </c>
      <c r="E83" s="5" t="n">
        <v>25</v>
      </c>
      <c r="F83" s="5"/>
      <c r="G83" s="5" t="s">
        <v>119</v>
      </c>
      <c r="H83" s="5" t="s">
        <v>1279</v>
      </c>
      <c r="I83" s="5" t="s">
        <v>153</v>
      </c>
      <c r="J83" s="5" t="n">
        <v>20</v>
      </c>
      <c r="K83" s="5"/>
      <c r="L83" s="5"/>
    </row>
    <row r="84" customFormat="false" ht="15" hidden="false" customHeight="false" outlineLevel="0" collapsed="false">
      <c r="A84" s="5" t="s">
        <v>249</v>
      </c>
      <c r="B84" s="5" t="n">
        <v>1</v>
      </c>
      <c r="C84" s="5" t="n">
        <v>1</v>
      </c>
      <c r="D84" s="5" t="n">
        <v>6</v>
      </c>
      <c r="E84" s="5" t="n">
        <v>50</v>
      </c>
      <c r="F84" s="5"/>
      <c r="G84" s="5" t="s">
        <v>119</v>
      </c>
      <c r="H84" s="5" t="s">
        <v>1280</v>
      </c>
      <c r="I84" s="5" t="s">
        <v>153</v>
      </c>
      <c r="J84" s="5" t="n">
        <v>15</v>
      </c>
      <c r="K84" s="5"/>
      <c r="L84" s="5"/>
    </row>
    <row r="85" customFormat="false" ht="15" hidden="false" customHeight="false" outlineLevel="0" collapsed="false">
      <c r="A85" s="5" t="s">
        <v>252</v>
      </c>
      <c r="B85" s="5" t="n">
        <v>1</v>
      </c>
      <c r="C85" s="5" t="n">
        <v>1</v>
      </c>
      <c r="D85" s="5" t="n">
        <v>6</v>
      </c>
      <c r="E85" s="5" t="n">
        <v>25</v>
      </c>
      <c r="F85" s="5"/>
      <c r="G85" s="5" t="s">
        <v>119</v>
      </c>
      <c r="H85" s="5" t="s">
        <v>1281</v>
      </c>
      <c r="I85" s="5" t="s">
        <v>153</v>
      </c>
      <c r="J85" s="5" t="n">
        <v>20</v>
      </c>
      <c r="K85" s="5"/>
      <c r="L85" s="5"/>
    </row>
    <row r="86" customFormat="false" ht="15" hidden="false" customHeight="false" outlineLevel="0" collapsed="false">
      <c r="A86" s="5" t="s">
        <v>255</v>
      </c>
      <c r="B86" s="5" t="n">
        <v>1</v>
      </c>
      <c r="C86" s="5" t="n">
        <v>1</v>
      </c>
      <c r="D86" s="5" t="n">
        <v>6</v>
      </c>
      <c r="E86" s="5" t="n">
        <v>50</v>
      </c>
      <c r="F86" s="5"/>
      <c r="G86" s="5" t="s">
        <v>119</v>
      </c>
      <c r="H86" s="5" t="s">
        <v>1282</v>
      </c>
      <c r="I86" s="5" t="s">
        <v>153</v>
      </c>
      <c r="J86" s="5" t="n">
        <v>15</v>
      </c>
      <c r="K86" s="5"/>
      <c r="L86" s="5"/>
    </row>
    <row r="87" customFormat="false" ht="15" hidden="false" customHeight="false" outlineLevel="0" collapsed="false">
      <c r="A87" s="5" t="s">
        <v>258</v>
      </c>
      <c r="B87" s="5" t="n">
        <v>1</v>
      </c>
      <c r="C87" s="5" t="n">
        <v>1</v>
      </c>
      <c r="D87" s="5" t="n">
        <v>6</v>
      </c>
      <c r="E87" s="5" t="n">
        <v>25</v>
      </c>
      <c r="F87" s="5"/>
      <c r="G87" s="5" t="s">
        <v>119</v>
      </c>
      <c r="H87" s="5" t="s">
        <v>1283</v>
      </c>
      <c r="I87" s="5" t="s">
        <v>153</v>
      </c>
      <c r="J87" s="5" t="n">
        <v>20</v>
      </c>
      <c r="K87" s="5"/>
      <c r="L87" s="5"/>
    </row>
    <row r="88" customFormat="false" ht="15" hidden="false" customHeight="false" outlineLevel="0" collapsed="false">
      <c r="A88" s="5" t="s">
        <v>261</v>
      </c>
      <c r="B88" s="5" t="n">
        <v>1</v>
      </c>
      <c r="C88" s="5" t="n">
        <v>1</v>
      </c>
      <c r="D88" s="5" t="n">
        <v>6</v>
      </c>
      <c r="E88" s="5" t="n">
        <v>50</v>
      </c>
      <c r="F88" s="5"/>
      <c r="G88" s="5" t="s">
        <v>119</v>
      </c>
      <c r="H88" s="5" t="s">
        <v>1284</v>
      </c>
      <c r="I88" s="5" t="s">
        <v>153</v>
      </c>
      <c r="J88" s="5" t="n">
        <v>15</v>
      </c>
      <c r="K88" s="5" t="s">
        <v>264</v>
      </c>
      <c r="L88" s="5"/>
    </row>
    <row r="89" customFormat="false" ht="15" hidden="false" customHeight="false" outlineLevel="0" collapsed="false">
      <c r="A89" s="5" t="s">
        <v>265</v>
      </c>
      <c r="B89" s="5" t="n">
        <v>1</v>
      </c>
      <c r="C89" s="5" t="n">
        <v>1</v>
      </c>
      <c r="D89" s="5" t="n">
        <v>6</v>
      </c>
      <c r="E89" s="5" t="n">
        <v>25</v>
      </c>
      <c r="F89" s="5"/>
      <c r="G89" s="5" t="s">
        <v>119</v>
      </c>
      <c r="H89" s="5" t="s">
        <v>1285</v>
      </c>
      <c r="I89" s="5" t="s">
        <v>153</v>
      </c>
      <c r="J89" s="5" t="n">
        <v>20</v>
      </c>
      <c r="K89" s="5" t="s">
        <v>264</v>
      </c>
      <c r="L89" s="5"/>
    </row>
    <row r="90" customFormat="false" ht="15" hidden="false" customHeight="false" outlineLevel="0" collapsed="false">
      <c r="A90" s="5" t="s">
        <v>268</v>
      </c>
      <c r="B90" s="5" t="n">
        <v>1</v>
      </c>
      <c r="C90" s="5" t="n">
        <v>1</v>
      </c>
      <c r="D90" s="5" t="n">
        <v>6</v>
      </c>
      <c r="E90" s="5" t="n">
        <v>50</v>
      </c>
      <c r="F90" s="5"/>
      <c r="G90" s="5" t="s">
        <v>119</v>
      </c>
      <c r="H90" s="5" t="s">
        <v>1286</v>
      </c>
      <c r="I90" s="5" t="s">
        <v>153</v>
      </c>
      <c r="J90" s="5" t="n">
        <v>15</v>
      </c>
      <c r="K90" s="5"/>
      <c r="L90" s="5"/>
    </row>
    <row r="91" customFormat="false" ht="15" hidden="false" customHeight="false" outlineLevel="0" collapsed="false">
      <c r="A91" s="5" t="s">
        <v>271</v>
      </c>
      <c r="B91" s="5" t="n">
        <v>1</v>
      </c>
      <c r="C91" s="5" t="n">
        <v>1</v>
      </c>
      <c r="D91" s="5" t="n">
        <v>6</v>
      </c>
      <c r="E91" s="5" t="n">
        <v>25</v>
      </c>
      <c r="F91" s="5"/>
      <c r="G91" s="5" t="s">
        <v>119</v>
      </c>
      <c r="H91" s="5" t="s">
        <v>1287</v>
      </c>
      <c r="I91" s="5" t="s">
        <v>153</v>
      </c>
      <c r="J91" s="5" t="n">
        <v>20</v>
      </c>
      <c r="K91" s="5"/>
      <c r="L91" s="5"/>
    </row>
    <row r="92" customFormat="false" ht="15" hidden="false" customHeight="false" outlineLevel="0" collapsed="false">
      <c r="A92" s="5" t="s">
        <v>274</v>
      </c>
      <c r="B92" s="5" t="n">
        <v>1</v>
      </c>
      <c r="C92" s="5" t="n">
        <v>1</v>
      </c>
      <c r="D92" s="5" t="n">
        <v>6</v>
      </c>
      <c r="E92" s="5" t="n">
        <v>50</v>
      </c>
      <c r="F92" s="5"/>
      <c r="G92" s="5" t="s">
        <v>123</v>
      </c>
      <c r="H92" s="5" t="s">
        <v>1288</v>
      </c>
      <c r="I92" s="5" t="s">
        <v>153</v>
      </c>
      <c r="J92" s="5" t="n">
        <v>15</v>
      </c>
      <c r="K92" s="5" t="s">
        <v>83</v>
      </c>
      <c r="L92" s="5"/>
    </row>
    <row r="93" customFormat="false" ht="15" hidden="false" customHeight="false" outlineLevel="0" collapsed="false">
      <c r="A93" s="5" t="s">
        <v>277</v>
      </c>
      <c r="B93" s="5" t="n">
        <v>1</v>
      </c>
      <c r="C93" s="5" t="n">
        <v>1</v>
      </c>
      <c r="D93" s="5" t="n">
        <v>6</v>
      </c>
      <c r="E93" s="5" t="n">
        <v>25</v>
      </c>
      <c r="F93" s="5"/>
      <c r="G93" s="5" t="s">
        <v>123</v>
      </c>
      <c r="H93" s="5" t="s">
        <v>1234</v>
      </c>
      <c r="I93" s="5" t="s">
        <v>153</v>
      </c>
      <c r="J93" s="5" t="n">
        <v>20</v>
      </c>
      <c r="K93" s="5" t="s">
        <v>83</v>
      </c>
      <c r="L93" s="5"/>
    </row>
    <row r="94" customFormat="false" ht="15" hidden="false" customHeight="false" outlineLevel="0" collapsed="false">
      <c r="A94" s="5" t="s">
        <v>280</v>
      </c>
      <c r="B94" s="5" t="n">
        <v>1</v>
      </c>
      <c r="C94" s="5" t="n">
        <v>1</v>
      </c>
      <c r="D94" s="5" t="n">
        <v>6</v>
      </c>
      <c r="E94" s="5" t="n">
        <v>50</v>
      </c>
      <c r="F94" s="5"/>
      <c r="G94" s="5" t="s">
        <v>123</v>
      </c>
      <c r="H94" s="5" t="s">
        <v>1289</v>
      </c>
      <c r="I94" s="5" t="s">
        <v>153</v>
      </c>
      <c r="J94" s="5" t="n">
        <v>15</v>
      </c>
      <c r="K94" s="5" t="s">
        <v>83</v>
      </c>
      <c r="L94" s="5"/>
    </row>
    <row r="95" customFormat="false" ht="15" hidden="false" customHeight="false" outlineLevel="0" collapsed="false">
      <c r="A95" s="5" t="s">
        <v>283</v>
      </c>
      <c r="B95" s="5" t="n">
        <v>1</v>
      </c>
      <c r="C95" s="5" t="n">
        <v>1</v>
      </c>
      <c r="D95" s="5" t="n">
        <v>6</v>
      </c>
      <c r="E95" s="5" t="n">
        <v>25</v>
      </c>
      <c r="F95" s="5"/>
      <c r="G95" s="5" t="s">
        <v>123</v>
      </c>
      <c r="H95" s="5" t="s">
        <v>1290</v>
      </c>
      <c r="I95" s="5" t="s">
        <v>153</v>
      </c>
      <c r="J95" s="5" t="n">
        <v>20</v>
      </c>
      <c r="K95" s="5" t="s">
        <v>83</v>
      </c>
      <c r="L95" s="5"/>
    </row>
    <row r="96" customFormat="false" ht="15" hidden="false" customHeight="false" outlineLevel="0" collapsed="false">
      <c r="A96" s="5" t="s">
        <v>286</v>
      </c>
      <c r="B96" s="5" t="n">
        <v>1</v>
      </c>
      <c r="C96" s="5" t="n">
        <v>1</v>
      </c>
      <c r="D96" s="5" t="n">
        <v>6</v>
      </c>
      <c r="E96" s="5" t="n">
        <v>50</v>
      </c>
      <c r="F96" s="5"/>
      <c r="G96" s="5" t="s">
        <v>123</v>
      </c>
      <c r="H96" s="5" t="s">
        <v>1291</v>
      </c>
      <c r="I96" s="5" t="s">
        <v>153</v>
      </c>
      <c r="J96" s="5" t="n">
        <v>15</v>
      </c>
      <c r="K96" s="5"/>
      <c r="L96" s="5"/>
    </row>
    <row r="97" customFormat="false" ht="15" hidden="false" customHeight="false" outlineLevel="0" collapsed="false">
      <c r="A97" s="5" t="s">
        <v>289</v>
      </c>
      <c r="B97" s="5" t="n">
        <v>1</v>
      </c>
      <c r="C97" s="5" t="n">
        <v>1</v>
      </c>
      <c r="D97" s="5" t="n">
        <v>6</v>
      </c>
      <c r="E97" s="5" t="n">
        <v>25</v>
      </c>
      <c r="F97" s="5"/>
      <c r="G97" s="5" t="s">
        <v>123</v>
      </c>
      <c r="H97" s="5" t="s">
        <v>1292</v>
      </c>
      <c r="I97" s="5" t="s">
        <v>153</v>
      </c>
      <c r="J97" s="5" t="n">
        <v>20</v>
      </c>
      <c r="K97" s="5"/>
      <c r="L97" s="5"/>
    </row>
    <row r="98" customFormat="false" ht="15" hidden="false" customHeight="false" outlineLevel="0" collapsed="false">
      <c r="A98" s="5" t="s">
        <v>292</v>
      </c>
      <c r="B98" s="5" t="n">
        <v>1</v>
      </c>
      <c r="C98" s="5" t="n">
        <v>1</v>
      </c>
      <c r="D98" s="5" t="n">
        <v>6</v>
      </c>
      <c r="E98" s="5" t="n">
        <v>50</v>
      </c>
      <c r="F98" s="5"/>
      <c r="G98" s="5" t="s">
        <v>123</v>
      </c>
      <c r="H98" s="5" t="s">
        <v>1293</v>
      </c>
      <c r="I98" s="5" t="s">
        <v>153</v>
      </c>
      <c r="J98" s="5" t="n">
        <v>15</v>
      </c>
      <c r="K98" s="5"/>
      <c r="L98" s="5"/>
    </row>
    <row r="99" customFormat="false" ht="15" hidden="false" customHeight="false" outlineLevel="0" collapsed="false">
      <c r="A99" s="5" t="s">
        <v>295</v>
      </c>
      <c r="B99" s="5" t="n">
        <v>1</v>
      </c>
      <c r="C99" s="5" t="n">
        <v>1</v>
      </c>
      <c r="D99" s="5" t="n">
        <v>6</v>
      </c>
      <c r="E99" s="5" t="n">
        <v>25</v>
      </c>
      <c r="F99" s="5"/>
      <c r="G99" s="5" t="s">
        <v>123</v>
      </c>
      <c r="H99" s="5" t="s">
        <v>1294</v>
      </c>
      <c r="I99" s="5" t="s">
        <v>153</v>
      </c>
      <c r="J99" s="5" t="n">
        <v>20</v>
      </c>
      <c r="K99" s="5"/>
      <c r="L99" s="5"/>
    </row>
    <row r="100" customFormat="false" ht="15" hidden="false" customHeight="false" outlineLevel="0" collapsed="false">
      <c r="A100" s="5" t="s">
        <v>298</v>
      </c>
      <c r="B100" s="5" t="n">
        <v>1</v>
      </c>
      <c r="C100" s="5" t="n">
        <v>1</v>
      </c>
      <c r="D100" s="5" t="n">
        <v>6</v>
      </c>
      <c r="E100" s="5" t="n">
        <v>50</v>
      </c>
      <c r="F100" s="5"/>
      <c r="G100" s="5" t="s">
        <v>123</v>
      </c>
      <c r="H100" s="5" t="s">
        <v>1295</v>
      </c>
      <c r="I100" s="5" t="s">
        <v>153</v>
      </c>
      <c r="J100" s="5" t="n">
        <v>15</v>
      </c>
      <c r="K100" s="5"/>
      <c r="L100" s="5"/>
    </row>
    <row r="101" customFormat="false" ht="15" hidden="false" customHeight="false" outlineLevel="0" collapsed="false">
      <c r="A101" s="5" t="s">
        <v>301</v>
      </c>
      <c r="B101" s="5" t="n">
        <v>1</v>
      </c>
      <c r="C101" s="5" t="n">
        <v>1</v>
      </c>
      <c r="D101" s="5" t="n">
        <v>6</v>
      </c>
      <c r="E101" s="5" t="n">
        <v>25</v>
      </c>
      <c r="F101" s="5"/>
      <c r="G101" s="5" t="s">
        <v>123</v>
      </c>
      <c r="H101" s="5" t="s">
        <v>1296</v>
      </c>
      <c r="I101" s="5" t="s">
        <v>153</v>
      </c>
      <c r="J101" s="5" t="n">
        <v>20</v>
      </c>
      <c r="K101" s="5"/>
      <c r="L101" s="5"/>
    </row>
    <row r="102" customFormat="false" ht="15" hidden="false" customHeight="false" outlineLevel="0" collapsed="false">
      <c r="A102" s="5" t="s">
        <v>304</v>
      </c>
      <c r="B102" s="5" t="n">
        <v>1</v>
      </c>
      <c r="C102" s="5" t="n">
        <v>1</v>
      </c>
      <c r="D102" s="5" t="n">
        <v>6</v>
      </c>
      <c r="E102" s="5" t="n">
        <v>50</v>
      </c>
      <c r="F102" s="5"/>
      <c r="G102" s="5" t="s">
        <v>123</v>
      </c>
      <c r="H102" s="5" t="s">
        <v>1297</v>
      </c>
      <c r="I102" s="5" t="s">
        <v>153</v>
      </c>
      <c r="J102" s="5" t="n">
        <v>15</v>
      </c>
      <c r="K102" s="5" t="s">
        <v>83</v>
      </c>
      <c r="L102" s="5"/>
    </row>
    <row r="103" customFormat="false" ht="15" hidden="false" customHeight="false" outlineLevel="0" collapsed="false">
      <c r="A103" s="5" t="s">
        <v>307</v>
      </c>
      <c r="B103" s="5" t="n">
        <v>1</v>
      </c>
      <c r="C103" s="5" t="n">
        <v>1</v>
      </c>
      <c r="D103" s="5" t="n">
        <v>6</v>
      </c>
      <c r="E103" s="5" t="n">
        <v>25</v>
      </c>
      <c r="F103" s="5"/>
      <c r="G103" s="5" t="s">
        <v>123</v>
      </c>
      <c r="H103" s="5" t="s">
        <v>1298</v>
      </c>
      <c r="I103" s="5" t="s">
        <v>153</v>
      </c>
      <c r="J103" s="5" t="n">
        <v>20</v>
      </c>
      <c r="K103" s="5" t="s">
        <v>83</v>
      </c>
      <c r="L103" s="5"/>
    </row>
    <row r="104" customFormat="false" ht="15" hidden="false" customHeight="false" outlineLevel="0" collapsed="false">
      <c r="A104" s="5" t="s">
        <v>310</v>
      </c>
      <c r="B104" s="5" t="n">
        <v>1</v>
      </c>
      <c r="C104" s="5" t="n">
        <v>1</v>
      </c>
      <c r="D104" s="5" t="n">
        <v>8</v>
      </c>
      <c r="E104" s="5" t="n">
        <v>25</v>
      </c>
      <c r="F104" s="5"/>
      <c r="G104" s="5" t="s">
        <v>48</v>
      </c>
      <c r="H104" s="5" t="s">
        <v>1299</v>
      </c>
      <c r="I104" s="5" t="s">
        <v>153</v>
      </c>
      <c r="J104" s="5" t="n">
        <v>20</v>
      </c>
      <c r="K104" s="5"/>
      <c r="L104" s="5"/>
    </row>
    <row r="105" customFormat="false" ht="15" hidden="false" customHeight="false" outlineLevel="0" collapsed="false">
      <c r="A105" s="5" t="s">
        <v>313</v>
      </c>
      <c r="B105" s="5" t="n">
        <v>1</v>
      </c>
      <c r="C105" s="5" t="n">
        <v>1</v>
      </c>
      <c r="D105" s="5" t="n">
        <v>8</v>
      </c>
      <c r="E105" s="5" t="n">
        <v>25</v>
      </c>
      <c r="F105" s="5"/>
      <c r="G105" s="5" t="s">
        <v>115</v>
      </c>
      <c r="H105" s="5" t="s">
        <v>1300</v>
      </c>
      <c r="I105" s="5" t="s">
        <v>153</v>
      </c>
      <c r="J105" s="5" t="n">
        <v>20</v>
      </c>
      <c r="K105" s="5"/>
      <c r="L105" s="5"/>
    </row>
    <row r="106" customFormat="false" ht="15" hidden="false" customHeight="false" outlineLevel="0" collapsed="false">
      <c r="A106" s="5" t="s">
        <v>316</v>
      </c>
      <c r="B106" s="5" t="n">
        <v>1</v>
      </c>
      <c r="C106" s="5" t="n">
        <v>1</v>
      </c>
      <c r="D106" s="5" t="n">
        <v>8</v>
      </c>
      <c r="E106" s="5" t="n">
        <v>25</v>
      </c>
      <c r="F106" s="5"/>
      <c r="G106" s="5" t="s">
        <v>52</v>
      </c>
      <c r="H106" s="5" t="s">
        <v>1301</v>
      </c>
      <c r="I106" s="5" t="s">
        <v>153</v>
      </c>
      <c r="J106" s="5" t="n">
        <v>20</v>
      </c>
      <c r="K106" s="5"/>
      <c r="L106" s="5"/>
    </row>
    <row r="107" customFormat="false" ht="15" hidden="false" customHeight="false" outlineLevel="0" collapsed="false">
      <c r="A107" s="5" t="s">
        <v>319</v>
      </c>
      <c r="B107" s="5" t="n">
        <v>1</v>
      </c>
      <c r="C107" s="5" t="n">
        <v>1</v>
      </c>
      <c r="D107" s="5" t="n">
        <v>8</v>
      </c>
      <c r="E107" s="5" t="n">
        <v>50</v>
      </c>
      <c r="F107" s="5"/>
      <c r="G107" s="5" t="s">
        <v>52</v>
      </c>
      <c r="H107" s="5" t="s">
        <v>1302</v>
      </c>
      <c r="I107" s="5" t="s">
        <v>153</v>
      </c>
      <c r="J107" s="5" t="n">
        <v>20</v>
      </c>
      <c r="K107" s="5"/>
      <c r="L107" s="5"/>
    </row>
    <row r="108" customFormat="false" ht="15" hidden="false" customHeight="false" outlineLevel="0" collapsed="false">
      <c r="A108" s="5" t="s">
        <v>322</v>
      </c>
      <c r="B108" s="5" t="n">
        <v>1</v>
      </c>
      <c r="C108" s="5" t="n">
        <v>1</v>
      </c>
      <c r="D108" s="5" t="n">
        <v>6</v>
      </c>
      <c r="E108" s="5" t="n">
        <v>15</v>
      </c>
      <c r="F108" s="5"/>
      <c r="G108" s="5" t="s">
        <v>133</v>
      </c>
      <c r="H108" s="5" t="s">
        <v>1303</v>
      </c>
      <c r="I108" s="5" t="s">
        <v>135</v>
      </c>
      <c r="J108" s="5" t="n">
        <v>60</v>
      </c>
      <c r="K108" s="5"/>
      <c r="L108" s="5"/>
    </row>
    <row r="109" customFormat="false" ht="15" hidden="false" customHeight="false" outlineLevel="0" collapsed="false">
      <c r="A109" s="5" t="s">
        <v>325</v>
      </c>
      <c r="B109" s="5" t="n">
        <v>1</v>
      </c>
      <c r="C109" s="5" t="n">
        <v>1</v>
      </c>
      <c r="D109" s="5" t="n">
        <v>6</v>
      </c>
      <c r="E109" s="5" t="n">
        <v>15</v>
      </c>
      <c r="F109" s="5"/>
      <c r="G109" s="5" t="s">
        <v>115</v>
      </c>
      <c r="H109" s="5" t="s">
        <v>1304</v>
      </c>
      <c r="I109" s="5" t="s">
        <v>135</v>
      </c>
      <c r="J109" s="5" t="n">
        <v>60</v>
      </c>
      <c r="K109" s="5"/>
      <c r="L109" s="5"/>
    </row>
    <row r="110" customFormat="false" ht="15" hidden="false" customHeight="false" outlineLevel="0" collapsed="false">
      <c r="A110" s="5" t="s">
        <v>328</v>
      </c>
      <c r="B110" s="5" t="n">
        <v>1</v>
      </c>
      <c r="C110" s="5" t="n">
        <v>1</v>
      </c>
      <c r="D110" s="5" t="n">
        <v>8</v>
      </c>
      <c r="E110" s="5" t="n">
        <v>15</v>
      </c>
      <c r="F110" s="5"/>
      <c r="G110" s="5" t="s">
        <v>123</v>
      </c>
      <c r="H110" s="5" t="s">
        <v>1305</v>
      </c>
      <c r="I110" s="5" t="s">
        <v>153</v>
      </c>
      <c r="J110" s="5" t="n">
        <v>30</v>
      </c>
      <c r="K110" s="5" t="s">
        <v>83</v>
      </c>
      <c r="L110" s="5"/>
    </row>
    <row r="111" customFormat="false" ht="15" hidden="false" customHeight="false" outlineLevel="0" collapsed="false">
      <c r="A111" s="5" t="s">
        <v>331</v>
      </c>
      <c r="B111" s="5" t="n">
        <v>1</v>
      </c>
      <c r="C111" s="5" t="n">
        <v>1</v>
      </c>
      <c r="D111" s="5" t="n">
        <v>6</v>
      </c>
      <c r="E111" s="5" t="n">
        <v>10</v>
      </c>
      <c r="F111" s="5"/>
      <c r="G111" s="5" t="s">
        <v>133</v>
      </c>
      <c r="H111" s="5" t="s">
        <v>1306</v>
      </c>
      <c r="I111" s="5" t="s">
        <v>135</v>
      </c>
      <c r="J111" s="5" t="n">
        <v>30</v>
      </c>
      <c r="K111" s="5"/>
      <c r="L111" s="5"/>
    </row>
    <row r="112" customFormat="false" ht="15" hidden="false" customHeight="false" outlineLevel="0" collapsed="false">
      <c r="A112" s="5" t="s">
        <v>334</v>
      </c>
      <c r="B112" s="5" t="n">
        <v>1</v>
      </c>
      <c r="C112" s="5" t="n">
        <v>1</v>
      </c>
      <c r="D112" s="5" t="n">
        <v>8</v>
      </c>
      <c r="E112" s="5" t="n">
        <v>25</v>
      </c>
      <c r="F112" s="5"/>
      <c r="G112" s="5" t="s">
        <v>133</v>
      </c>
      <c r="H112" s="5" t="s">
        <v>1307</v>
      </c>
      <c r="I112" s="5" t="s">
        <v>153</v>
      </c>
      <c r="J112" s="5" t="n">
        <v>40</v>
      </c>
      <c r="K112" s="5"/>
      <c r="L112" s="5"/>
    </row>
    <row r="113" customFormat="false" ht="15" hidden="false" customHeight="false" outlineLevel="0" collapsed="false">
      <c r="A113" s="5" t="s">
        <v>338</v>
      </c>
      <c r="B113" s="5" t="n">
        <v>1</v>
      </c>
      <c r="C113" s="5" t="n">
        <v>1</v>
      </c>
      <c r="D113" s="5" t="n">
        <v>8</v>
      </c>
      <c r="E113" s="5" t="n">
        <v>50</v>
      </c>
      <c r="F113" s="5"/>
      <c r="G113" s="5" t="s">
        <v>48</v>
      </c>
      <c r="H113" s="5" t="s">
        <v>1308</v>
      </c>
      <c r="I113" s="5" t="s">
        <v>37</v>
      </c>
      <c r="J113" s="5" t="n">
        <v>20</v>
      </c>
      <c r="K113" s="5"/>
      <c r="L113" s="5"/>
    </row>
    <row r="114" customFormat="false" ht="15" hidden="false" customHeight="false" outlineLevel="0" collapsed="false">
      <c r="A114" s="5" t="s">
        <v>341</v>
      </c>
      <c r="B114" s="5" t="n">
        <v>1</v>
      </c>
      <c r="C114" s="5" t="n">
        <v>1</v>
      </c>
      <c r="D114" s="5" t="n">
        <v>8</v>
      </c>
      <c r="E114" s="5" t="n">
        <v>50</v>
      </c>
      <c r="F114" s="5"/>
      <c r="G114" s="5" t="s">
        <v>48</v>
      </c>
      <c r="H114" s="5" t="s">
        <v>1226</v>
      </c>
      <c r="I114" s="5" t="s">
        <v>343</v>
      </c>
      <c r="J114" s="5" t="n">
        <v>15</v>
      </c>
      <c r="K114" s="5" t="s">
        <v>346</v>
      </c>
      <c r="L114" s="5"/>
    </row>
    <row r="115" customFormat="false" ht="15" hidden="false" customHeight="false" outlineLevel="0" collapsed="false">
      <c r="A115" s="5" t="s">
        <v>347</v>
      </c>
      <c r="B115" s="5" t="n">
        <v>1</v>
      </c>
      <c r="C115" s="5" t="n">
        <v>1</v>
      </c>
      <c r="D115" s="5" t="n">
        <v>6</v>
      </c>
      <c r="E115" s="5" t="n">
        <v>50</v>
      </c>
      <c r="F115" s="5"/>
      <c r="G115" s="5" t="s">
        <v>48</v>
      </c>
      <c r="H115" s="5" t="s">
        <v>1309</v>
      </c>
      <c r="I115" s="5" t="s">
        <v>139</v>
      </c>
      <c r="J115" s="5" t="n">
        <v>30</v>
      </c>
      <c r="K115" s="5" t="s">
        <v>346</v>
      </c>
      <c r="L115" s="5"/>
    </row>
    <row r="116" customFormat="false" ht="15" hidden="false" customHeight="false" outlineLevel="0" collapsed="false">
      <c r="A116" s="5" t="s">
        <v>351</v>
      </c>
      <c r="B116" s="5" t="n">
        <v>1</v>
      </c>
      <c r="C116" s="5" t="n">
        <v>1</v>
      </c>
      <c r="D116" s="5" t="n">
        <v>10</v>
      </c>
      <c r="E116" s="5" t="n">
        <v>25</v>
      </c>
      <c r="F116" s="5"/>
      <c r="G116" s="5" t="s">
        <v>48</v>
      </c>
      <c r="H116" s="5" t="s">
        <v>1310</v>
      </c>
      <c r="I116" s="5" t="s">
        <v>135</v>
      </c>
      <c r="J116" s="5" t="n">
        <v>40</v>
      </c>
      <c r="K116" s="5"/>
      <c r="L116" s="5"/>
    </row>
    <row r="117" customFormat="false" ht="15" hidden="false" customHeight="false" outlineLevel="0" collapsed="false">
      <c r="A117" s="5" t="s">
        <v>354</v>
      </c>
      <c r="B117" s="5" t="n">
        <v>1</v>
      </c>
      <c r="C117" s="5" t="n">
        <v>1</v>
      </c>
      <c r="D117" s="5" t="n">
        <v>8</v>
      </c>
      <c r="E117" s="5" t="n">
        <v>50</v>
      </c>
      <c r="F117" s="5"/>
      <c r="G117" s="5" t="s">
        <v>115</v>
      </c>
      <c r="H117" s="5" t="s">
        <v>1226</v>
      </c>
      <c r="I117" s="5" t="s">
        <v>343</v>
      </c>
      <c r="J117" s="5" t="n">
        <v>15</v>
      </c>
      <c r="K117" s="5" t="s">
        <v>346</v>
      </c>
      <c r="L117" s="5"/>
    </row>
    <row r="118" customFormat="false" ht="15" hidden="false" customHeight="false" outlineLevel="0" collapsed="false">
      <c r="A118" s="5" t="s">
        <v>357</v>
      </c>
      <c r="B118" s="5" t="n">
        <v>1</v>
      </c>
      <c r="C118" s="5" t="n">
        <v>1</v>
      </c>
      <c r="D118" s="5" t="n">
        <v>6</v>
      </c>
      <c r="E118" s="5" t="n">
        <v>50</v>
      </c>
      <c r="F118" s="5"/>
      <c r="G118" s="5" t="s">
        <v>115</v>
      </c>
      <c r="H118" s="5" t="s">
        <v>1309</v>
      </c>
      <c r="I118" s="5" t="s">
        <v>139</v>
      </c>
      <c r="J118" s="5" t="n">
        <v>30</v>
      </c>
      <c r="K118" s="5" t="s">
        <v>346</v>
      </c>
      <c r="L118" s="5"/>
    </row>
    <row r="119" customFormat="false" ht="15" hidden="false" customHeight="false" outlineLevel="0" collapsed="false">
      <c r="A119" s="5" t="s">
        <v>360</v>
      </c>
      <c r="B119" s="5" t="n">
        <v>1</v>
      </c>
      <c r="C119" s="5" t="n">
        <v>1</v>
      </c>
      <c r="D119" s="5" t="n">
        <v>10</v>
      </c>
      <c r="E119" s="5" t="n">
        <v>25</v>
      </c>
      <c r="F119" s="5"/>
      <c r="G119" s="5" t="s">
        <v>115</v>
      </c>
      <c r="H119" s="5" t="s">
        <v>1310</v>
      </c>
      <c r="I119" s="5" t="s">
        <v>135</v>
      </c>
      <c r="J119" s="5" t="n">
        <v>40</v>
      </c>
      <c r="K119" s="5"/>
      <c r="L119" s="5"/>
    </row>
    <row r="120" customFormat="false" ht="15" hidden="false" customHeight="false" outlineLevel="0" collapsed="false">
      <c r="A120" s="5" t="s">
        <v>363</v>
      </c>
      <c r="B120" s="5" t="n">
        <v>1</v>
      </c>
      <c r="C120" s="5" t="n">
        <v>1</v>
      </c>
      <c r="D120" s="5" t="n">
        <v>8</v>
      </c>
      <c r="E120" s="5" t="n">
        <v>50</v>
      </c>
      <c r="F120" s="5"/>
      <c r="G120" s="5" t="s">
        <v>119</v>
      </c>
      <c r="H120" s="5" t="s">
        <v>1226</v>
      </c>
      <c r="I120" s="5" t="s">
        <v>343</v>
      </c>
      <c r="J120" s="5" t="n">
        <v>15</v>
      </c>
      <c r="K120" s="5" t="s">
        <v>346</v>
      </c>
      <c r="L120" s="5"/>
    </row>
    <row r="121" customFormat="false" ht="15" hidden="false" customHeight="false" outlineLevel="0" collapsed="false">
      <c r="A121" s="5" t="s">
        <v>366</v>
      </c>
      <c r="B121" s="5" t="n">
        <v>1</v>
      </c>
      <c r="C121" s="5" t="n">
        <v>1</v>
      </c>
      <c r="D121" s="5" t="n">
        <v>6</v>
      </c>
      <c r="E121" s="5" t="n">
        <v>50</v>
      </c>
      <c r="F121" s="5"/>
      <c r="G121" s="5" t="s">
        <v>119</v>
      </c>
      <c r="H121" s="5" t="s">
        <v>1309</v>
      </c>
      <c r="I121" s="5" t="s">
        <v>139</v>
      </c>
      <c r="J121" s="5" t="n">
        <v>30</v>
      </c>
      <c r="K121" s="5" t="s">
        <v>346</v>
      </c>
      <c r="L121" s="5"/>
    </row>
    <row r="122" customFormat="false" ht="15" hidden="false" customHeight="false" outlineLevel="0" collapsed="false">
      <c r="A122" s="5" t="s">
        <v>369</v>
      </c>
      <c r="B122" s="5" t="n">
        <v>1</v>
      </c>
      <c r="C122" s="5" t="n">
        <v>1</v>
      </c>
      <c r="D122" s="5" t="n">
        <v>10</v>
      </c>
      <c r="E122" s="5" t="n">
        <v>25</v>
      </c>
      <c r="F122" s="5"/>
      <c r="G122" s="5" t="s">
        <v>119</v>
      </c>
      <c r="H122" s="5" t="s">
        <v>1310</v>
      </c>
      <c r="I122" s="5" t="s">
        <v>135</v>
      </c>
      <c r="J122" s="5" t="n">
        <v>40</v>
      </c>
      <c r="K122" s="5"/>
      <c r="L122" s="5"/>
    </row>
    <row r="123" customFormat="false" ht="15" hidden="false" customHeight="false" outlineLevel="0" collapsed="false">
      <c r="A123" s="5" t="s">
        <v>372</v>
      </c>
      <c r="B123" s="5" t="n">
        <v>1</v>
      </c>
      <c r="C123" s="5" t="n">
        <v>1</v>
      </c>
      <c r="D123" s="5" t="n">
        <v>8</v>
      </c>
      <c r="E123" s="5" t="n">
        <v>50</v>
      </c>
      <c r="F123" s="5"/>
      <c r="G123" s="5" t="s">
        <v>123</v>
      </c>
      <c r="H123" s="5" t="s">
        <v>1226</v>
      </c>
      <c r="I123" s="5" t="s">
        <v>343</v>
      </c>
      <c r="J123" s="5" t="n">
        <v>15</v>
      </c>
      <c r="K123" s="5" t="s">
        <v>346</v>
      </c>
      <c r="L123" s="5"/>
    </row>
    <row r="124" customFormat="false" ht="15" hidden="false" customHeight="false" outlineLevel="0" collapsed="false">
      <c r="A124" s="5" t="s">
        <v>375</v>
      </c>
      <c r="B124" s="5" t="n">
        <v>1</v>
      </c>
      <c r="C124" s="5" t="n">
        <v>1</v>
      </c>
      <c r="D124" s="5" t="n">
        <v>6</v>
      </c>
      <c r="E124" s="5" t="n">
        <v>50</v>
      </c>
      <c r="F124" s="5"/>
      <c r="G124" s="5" t="s">
        <v>123</v>
      </c>
      <c r="H124" s="5" t="s">
        <v>1309</v>
      </c>
      <c r="I124" s="5" t="s">
        <v>139</v>
      </c>
      <c r="J124" s="5" t="n">
        <v>30</v>
      </c>
      <c r="K124" s="5" t="s">
        <v>346</v>
      </c>
      <c r="L124" s="5"/>
    </row>
    <row r="125" customFormat="false" ht="15" hidden="false" customHeight="false" outlineLevel="0" collapsed="false">
      <c r="A125" s="5" t="s">
        <v>378</v>
      </c>
      <c r="B125" s="5" t="n">
        <v>1</v>
      </c>
      <c r="C125" s="5" t="n">
        <v>1</v>
      </c>
      <c r="D125" s="5" t="n">
        <v>10</v>
      </c>
      <c r="E125" s="5" t="n">
        <v>25</v>
      </c>
      <c r="F125" s="5"/>
      <c r="G125" s="5" t="s">
        <v>123</v>
      </c>
      <c r="H125" s="5" t="s">
        <v>1310</v>
      </c>
      <c r="I125" s="5" t="s">
        <v>135</v>
      </c>
      <c r="J125" s="5" t="n">
        <v>40</v>
      </c>
      <c r="K125" s="5"/>
      <c r="L125" s="5"/>
    </row>
    <row r="126" customFormat="false" ht="15" hidden="false" customHeight="false" outlineLevel="0" collapsed="false">
      <c r="A126" s="5" t="s">
        <v>381</v>
      </c>
      <c r="B126" s="5" t="n">
        <v>1</v>
      </c>
      <c r="C126" s="5" t="n">
        <v>1</v>
      </c>
      <c r="D126" s="5" t="n">
        <v>1</v>
      </c>
      <c r="E126" s="5" t="n">
        <v>300</v>
      </c>
      <c r="F126" s="5"/>
      <c r="G126" s="5" t="s">
        <v>52</v>
      </c>
      <c r="H126" s="5" t="s">
        <v>1311</v>
      </c>
      <c r="I126" s="5" t="s">
        <v>37</v>
      </c>
      <c r="J126" s="5"/>
      <c r="K126" s="5" t="s">
        <v>83</v>
      </c>
      <c r="L126" s="5"/>
    </row>
    <row r="127" customFormat="false" ht="15" hidden="false" customHeight="false" outlineLevel="0" collapsed="false">
      <c r="A127" s="5" t="s">
        <v>384</v>
      </c>
      <c r="B127" s="5" t="n">
        <v>1</v>
      </c>
      <c r="C127" s="5" t="n">
        <v>1</v>
      </c>
      <c r="D127" s="5" t="n">
        <v>6</v>
      </c>
      <c r="E127" s="5" t="n">
        <v>50</v>
      </c>
      <c r="F127" s="5"/>
      <c r="G127" s="5" t="s">
        <v>123</v>
      </c>
      <c r="H127" s="5" t="s">
        <v>1312</v>
      </c>
      <c r="I127" s="5" t="s">
        <v>139</v>
      </c>
      <c r="J127" s="5" t="n">
        <v>30</v>
      </c>
      <c r="K127" s="5" t="s">
        <v>83</v>
      </c>
      <c r="L127" s="5"/>
    </row>
    <row r="128" customFormat="false" ht="15" hidden="false" customHeight="false" outlineLevel="0" collapsed="false">
      <c r="A128" s="5" t="s">
        <v>387</v>
      </c>
      <c r="B128" s="5" t="n">
        <v>1</v>
      </c>
      <c r="C128" s="5" t="n">
        <v>1</v>
      </c>
      <c r="D128" s="5" t="n">
        <v>4</v>
      </c>
      <c r="E128" s="5" t="n">
        <v>100</v>
      </c>
      <c r="F128" s="5"/>
      <c r="G128" s="5" t="s">
        <v>133</v>
      </c>
      <c r="H128" s="5" t="s">
        <v>1313</v>
      </c>
      <c r="I128" s="5" t="s">
        <v>343</v>
      </c>
      <c r="J128" s="5" t="n">
        <v>20</v>
      </c>
      <c r="K128" s="5" t="s">
        <v>346</v>
      </c>
      <c r="L128" s="5"/>
    </row>
    <row r="129" customFormat="false" ht="15" hidden="false" customHeight="false" outlineLevel="0" collapsed="false">
      <c r="A129" s="5" t="s">
        <v>390</v>
      </c>
      <c r="B129" s="5" t="n">
        <v>1</v>
      </c>
      <c r="C129" s="5" t="n">
        <v>1</v>
      </c>
      <c r="D129" s="5" t="n">
        <v>6</v>
      </c>
      <c r="E129" s="5" t="n">
        <v>25</v>
      </c>
      <c r="F129" s="5"/>
      <c r="G129" s="5" t="s">
        <v>133</v>
      </c>
      <c r="H129" s="5" t="s">
        <v>1314</v>
      </c>
      <c r="I129" s="5" t="s">
        <v>37</v>
      </c>
      <c r="J129" s="5" t="n">
        <v>20</v>
      </c>
      <c r="K129" s="5" t="s">
        <v>346</v>
      </c>
      <c r="L129" s="5"/>
    </row>
    <row r="130" customFormat="false" ht="15" hidden="false" customHeight="false" outlineLevel="0" collapsed="false">
      <c r="A130" s="5" t="s">
        <v>393</v>
      </c>
      <c r="B130" s="5" t="n">
        <v>1</v>
      </c>
      <c r="C130" s="5" t="n">
        <v>1</v>
      </c>
      <c r="D130" s="5" t="n">
        <v>6</v>
      </c>
      <c r="E130" s="5"/>
      <c r="F130" s="5" t="n">
        <v>30</v>
      </c>
      <c r="G130" s="5"/>
      <c r="H130" s="5" t="s">
        <v>1315</v>
      </c>
      <c r="I130" s="5" t="s">
        <v>139</v>
      </c>
      <c r="J130" s="5" t="n">
        <v>30</v>
      </c>
      <c r="K130" s="5"/>
      <c r="L130" s="5"/>
    </row>
    <row r="131" customFormat="false" ht="15" hidden="false" customHeight="false" outlineLevel="0" collapsed="false">
      <c r="A131" s="5" t="s">
        <v>398</v>
      </c>
      <c r="B131" s="5" t="n">
        <v>1</v>
      </c>
      <c r="C131" s="5" t="n">
        <v>1</v>
      </c>
      <c r="D131" s="5" t="n">
        <v>4</v>
      </c>
      <c r="E131" s="5" t="n">
        <v>200</v>
      </c>
      <c r="F131" s="5"/>
      <c r="G131" s="5" t="s">
        <v>48</v>
      </c>
      <c r="H131" s="5" t="s">
        <v>1227</v>
      </c>
      <c r="I131" s="5" t="s">
        <v>343</v>
      </c>
      <c r="J131" s="5" t="n">
        <v>20</v>
      </c>
      <c r="K131" s="5" t="s">
        <v>264</v>
      </c>
      <c r="L131" s="5"/>
    </row>
    <row r="132" customFormat="false" ht="15" hidden="false" customHeight="false" outlineLevel="0" collapsed="false">
      <c r="A132" s="5" t="s">
        <v>402</v>
      </c>
      <c r="B132" s="5" t="n">
        <v>1</v>
      </c>
      <c r="C132" s="5" t="n">
        <v>1</v>
      </c>
      <c r="D132" s="5" t="n">
        <v>6</v>
      </c>
      <c r="E132" s="5" t="n">
        <v>100</v>
      </c>
      <c r="F132" s="5"/>
      <c r="G132" s="5" t="s">
        <v>48</v>
      </c>
      <c r="H132" s="5" t="s">
        <v>1227</v>
      </c>
      <c r="I132" s="5" t="s">
        <v>108</v>
      </c>
      <c r="J132" s="5" t="n">
        <v>15</v>
      </c>
      <c r="K132" s="5" t="s">
        <v>405</v>
      </c>
      <c r="L132" s="5"/>
    </row>
    <row r="133" customFormat="false" ht="15" hidden="false" customHeight="false" outlineLevel="0" collapsed="false">
      <c r="A133" s="5" t="s">
        <v>406</v>
      </c>
      <c r="B133" s="5" t="n">
        <v>1</v>
      </c>
      <c r="C133" s="5" t="n">
        <v>1</v>
      </c>
      <c r="D133" s="5" t="n">
        <v>8</v>
      </c>
      <c r="E133" s="5" t="n">
        <v>50</v>
      </c>
      <c r="F133" s="5"/>
      <c r="G133" s="5" t="s">
        <v>119</v>
      </c>
      <c r="H133" s="5" t="s">
        <v>1316</v>
      </c>
      <c r="I133" s="5" t="s">
        <v>343</v>
      </c>
      <c r="J133" s="5" t="n">
        <v>15</v>
      </c>
      <c r="K133" s="5" t="s">
        <v>264</v>
      </c>
      <c r="L133" s="5"/>
    </row>
    <row r="134" customFormat="false" ht="15" hidden="false" customHeight="false" outlineLevel="0" collapsed="false">
      <c r="A134" s="5" t="s">
        <v>409</v>
      </c>
      <c r="B134" s="5" t="n">
        <v>1</v>
      </c>
      <c r="C134" s="5" t="n">
        <v>1</v>
      </c>
      <c r="D134" s="5" t="n">
        <v>1</v>
      </c>
      <c r="E134" s="5" t="n">
        <v>400</v>
      </c>
      <c r="F134" s="5"/>
      <c r="G134" s="5" t="s">
        <v>48</v>
      </c>
      <c r="H134" s="5" t="s">
        <v>1317</v>
      </c>
      <c r="I134" s="5" t="s">
        <v>343</v>
      </c>
      <c r="J134" s="5"/>
      <c r="K134" s="5" t="s">
        <v>264</v>
      </c>
      <c r="L134" s="5"/>
    </row>
    <row r="135" customFormat="false" ht="15" hidden="false" customHeight="false" outlineLevel="0" collapsed="false">
      <c r="A135" s="5" t="s">
        <v>412</v>
      </c>
      <c r="B135" s="5" t="n">
        <v>1</v>
      </c>
      <c r="C135" s="5" t="n">
        <v>1</v>
      </c>
      <c r="D135" s="5" t="n">
        <v>3</v>
      </c>
      <c r="E135" s="5" t="n">
        <v>300</v>
      </c>
      <c r="F135" s="5"/>
      <c r="G135" s="5" t="s">
        <v>48</v>
      </c>
      <c r="H135" s="5" t="s">
        <v>1318</v>
      </c>
      <c r="I135" s="5" t="s">
        <v>343</v>
      </c>
      <c r="J135" s="5" t="n">
        <v>30</v>
      </c>
      <c r="K135" s="5" t="s">
        <v>405</v>
      </c>
      <c r="L135" s="5"/>
    </row>
    <row r="136" customFormat="false" ht="15" hidden="false" customHeight="false" outlineLevel="0" collapsed="false">
      <c r="A136" s="5" t="s">
        <v>415</v>
      </c>
      <c r="B136" s="5" t="n">
        <v>1</v>
      </c>
      <c r="C136" s="5" t="n">
        <v>1</v>
      </c>
      <c r="D136" s="5" t="n">
        <v>10</v>
      </c>
      <c r="E136" s="5" t="n">
        <v>50</v>
      </c>
      <c r="F136" s="5"/>
      <c r="G136" s="5" t="s">
        <v>115</v>
      </c>
      <c r="H136" s="5" t="s">
        <v>1227</v>
      </c>
      <c r="I136" s="5" t="s">
        <v>343</v>
      </c>
      <c r="J136" s="5" t="n">
        <v>15</v>
      </c>
      <c r="K136" s="5" t="s">
        <v>264</v>
      </c>
      <c r="L136" s="5"/>
    </row>
    <row r="137" customFormat="false" ht="15" hidden="false" customHeight="false" outlineLevel="0" collapsed="false">
      <c r="A137" s="5" t="s">
        <v>418</v>
      </c>
      <c r="B137" s="5" t="n">
        <v>1</v>
      </c>
      <c r="C137" s="5" t="n">
        <v>1</v>
      </c>
      <c r="D137" s="5" t="n">
        <v>8</v>
      </c>
      <c r="E137" s="5" t="n">
        <v>50</v>
      </c>
      <c r="F137" s="5"/>
      <c r="G137" s="5" t="s">
        <v>48</v>
      </c>
      <c r="H137" s="5" t="s">
        <v>1319</v>
      </c>
      <c r="I137" s="5" t="s">
        <v>108</v>
      </c>
      <c r="J137" s="5" t="n">
        <v>30</v>
      </c>
      <c r="K137" s="5" t="s">
        <v>1320</v>
      </c>
      <c r="L137" s="5"/>
    </row>
    <row r="138" customFormat="false" ht="15" hidden="false" customHeight="false" outlineLevel="0" collapsed="false">
      <c r="A138" s="5" t="s">
        <v>422</v>
      </c>
      <c r="B138" s="5" t="n">
        <v>1</v>
      </c>
      <c r="C138" s="5" t="n">
        <v>1</v>
      </c>
      <c r="D138" s="5" t="n">
        <v>6</v>
      </c>
      <c r="E138" s="5" t="n">
        <v>25</v>
      </c>
      <c r="F138" s="5"/>
      <c r="G138" s="5" t="s">
        <v>133</v>
      </c>
      <c r="H138" s="5" t="s">
        <v>1321</v>
      </c>
      <c r="I138" s="5" t="s">
        <v>423</v>
      </c>
      <c r="J138" s="5" t="n">
        <v>60</v>
      </c>
      <c r="K138" s="5" t="s">
        <v>426</v>
      </c>
      <c r="L138" s="5"/>
    </row>
    <row r="139" customFormat="false" ht="15" hidden="false" customHeight="false" outlineLevel="0" collapsed="false">
      <c r="A139" s="5" t="s">
        <v>427</v>
      </c>
      <c r="B139" s="5" t="n">
        <v>1</v>
      </c>
      <c r="C139" s="5" t="n">
        <v>1</v>
      </c>
      <c r="D139" s="5" t="n">
        <v>3</v>
      </c>
      <c r="E139" s="5" t="n">
        <v>400</v>
      </c>
      <c r="F139" s="5"/>
      <c r="G139" s="5" t="s">
        <v>48</v>
      </c>
      <c r="H139" s="5" t="s">
        <v>1322</v>
      </c>
      <c r="I139" s="5" t="s">
        <v>343</v>
      </c>
      <c r="J139" s="5" t="n">
        <v>30</v>
      </c>
      <c r="K139" s="5"/>
      <c r="L139" s="5"/>
    </row>
    <row r="140" customFormat="false" ht="15" hidden="false" customHeight="false" outlineLevel="0" collapsed="false">
      <c r="A140" s="5" t="s">
        <v>431</v>
      </c>
      <c r="B140" s="5" t="n">
        <v>1</v>
      </c>
      <c r="C140" s="5" t="n">
        <v>1</v>
      </c>
      <c r="D140" s="5" t="n">
        <v>3</v>
      </c>
      <c r="E140" s="5" t="n">
        <v>400</v>
      </c>
      <c r="F140" s="5"/>
      <c r="G140" s="5" t="s">
        <v>115</v>
      </c>
      <c r="H140" s="5" t="s">
        <v>1322</v>
      </c>
      <c r="I140" s="5" t="s">
        <v>343</v>
      </c>
      <c r="J140" s="5" t="n">
        <v>30</v>
      </c>
      <c r="K140" s="5"/>
      <c r="L140" s="5"/>
    </row>
    <row r="141" customFormat="false" ht="15" hidden="false" customHeight="false" outlineLevel="0" collapsed="false">
      <c r="A141" s="5" t="s">
        <v>434</v>
      </c>
      <c r="B141" s="5" t="n">
        <v>1</v>
      </c>
      <c r="C141" s="5" t="n">
        <v>1</v>
      </c>
      <c r="D141" s="5" t="n">
        <v>3</v>
      </c>
      <c r="E141" s="5" t="n">
        <v>400</v>
      </c>
      <c r="F141" s="5"/>
      <c r="G141" s="5" t="s">
        <v>119</v>
      </c>
      <c r="H141" s="5" t="s">
        <v>1322</v>
      </c>
      <c r="I141" s="5" t="s">
        <v>343</v>
      </c>
      <c r="J141" s="5" t="n">
        <v>30</v>
      </c>
      <c r="K141" s="5"/>
      <c r="L141" s="5"/>
    </row>
    <row r="142" customFormat="false" ht="15" hidden="false" customHeight="false" outlineLevel="0" collapsed="false">
      <c r="A142" s="5" t="s">
        <v>437</v>
      </c>
      <c r="B142" s="5" t="n">
        <v>1</v>
      </c>
      <c r="C142" s="5" t="n">
        <v>1</v>
      </c>
      <c r="D142" s="5" t="n">
        <v>3</v>
      </c>
      <c r="E142" s="5" t="n">
        <v>200</v>
      </c>
      <c r="F142" s="5"/>
      <c r="G142" s="5" t="s">
        <v>123</v>
      </c>
      <c r="H142" s="5" t="s">
        <v>1322</v>
      </c>
      <c r="I142" s="5" t="s">
        <v>343</v>
      </c>
      <c r="J142" s="5" t="n">
        <v>30</v>
      </c>
      <c r="K142" s="5"/>
      <c r="L142" s="5"/>
    </row>
    <row r="143" customFormat="false" ht="15" hidden="false" customHeight="false" outlineLevel="0" collapsed="false">
      <c r="A143" s="5" t="s">
        <v>440</v>
      </c>
      <c r="B143" s="5" t="n">
        <v>1</v>
      </c>
      <c r="C143" s="5" t="n">
        <v>1</v>
      </c>
      <c r="D143" s="5" t="n">
        <v>3</v>
      </c>
      <c r="E143" s="5" t="n">
        <v>400</v>
      </c>
      <c r="F143" s="5"/>
      <c r="G143" s="5" t="s">
        <v>52</v>
      </c>
      <c r="H143" s="5" t="s">
        <v>1322</v>
      </c>
      <c r="I143" s="5" t="s">
        <v>343</v>
      </c>
      <c r="J143" s="5" t="n">
        <v>30</v>
      </c>
      <c r="K143" s="5"/>
      <c r="L143" s="5"/>
    </row>
    <row r="144" customFormat="false" ht="15" hidden="false" customHeight="false" outlineLevel="0" collapsed="false">
      <c r="A144" s="5" t="s">
        <v>443</v>
      </c>
      <c r="B144" s="5" t="n">
        <v>1</v>
      </c>
      <c r="C144" s="5" t="n">
        <v>1</v>
      </c>
      <c r="D144" s="5" t="n">
        <v>8</v>
      </c>
      <c r="E144" s="5" t="n">
        <v>200</v>
      </c>
      <c r="F144" s="5"/>
      <c r="G144" s="5" t="s">
        <v>48</v>
      </c>
      <c r="H144" s="5" t="s">
        <v>1322</v>
      </c>
      <c r="I144" s="5" t="s">
        <v>343</v>
      </c>
      <c r="J144" s="5" t="n">
        <v>20</v>
      </c>
      <c r="K144" s="5"/>
      <c r="L144" s="5"/>
    </row>
    <row r="145" customFormat="false" ht="15" hidden="false" customHeight="false" outlineLevel="0" collapsed="false">
      <c r="A145" s="5" t="s">
        <v>446</v>
      </c>
      <c r="B145" s="5" t="n">
        <v>1</v>
      </c>
      <c r="C145" s="5" t="n">
        <v>1</v>
      </c>
      <c r="D145" s="5" t="n">
        <v>8</v>
      </c>
      <c r="E145" s="5" t="n">
        <v>200</v>
      </c>
      <c r="F145" s="5"/>
      <c r="G145" s="5" t="s">
        <v>115</v>
      </c>
      <c r="H145" s="5" t="s">
        <v>1322</v>
      </c>
      <c r="I145" s="5" t="s">
        <v>343</v>
      </c>
      <c r="J145" s="5" t="n">
        <v>20</v>
      </c>
      <c r="K145" s="5"/>
      <c r="L145" s="5"/>
    </row>
    <row r="146" customFormat="false" ht="15" hidden="false" customHeight="false" outlineLevel="0" collapsed="false">
      <c r="A146" s="5" t="s">
        <v>449</v>
      </c>
      <c r="B146" s="5" t="n">
        <v>1</v>
      </c>
      <c r="C146" s="5" t="n">
        <v>1</v>
      </c>
      <c r="D146" s="5" t="n">
        <v>8</v>
      </c>
      <c r="E146" s="5" t="n">
        <v>200</v>
      </c>
      <c r="F146" s="5"/>
      <c r="G146" s="5" t="s">
        <v>119</v>
      </c>
      <c r="H146" s="5" t="s">
        <v>1322</v>
      </c>
      <c r="I146" s="5" t="s">
        <v>343</v>
      </c>
      <c r="J146" s="5" t="n">
        <v>20</v>
      </c>
      <c r="K146" s="5"/>
      <c r="L146" s="5"/>
    </row>
    <row r="147" customFormat="false" ht="15" hidden="false" customHeight="false" outlineLevel="0" collapsed="false">
      <c r="A147" s="5" t="s">
        <v>452</v>
      </c>
      <c r="B147" s="5" t="n">
        <v>1</v>
      </c>
      <c r="C147" s="5" t="n">
        <v>1</v>
      </c>
      <c r="D147" s="5" t="n">
        <v>8</v>
      </c>
      <c r="E147" s="5" t="n">
        <v>100</v>
      </c>
      <c r="F147" s="5"/>
      <c r="G147" s="5" t="s">
        <v>123</v>
      </c>
      <c r="H147" s="5" t="s">
        <v>1322</v>
      </c>
      <c r="I147" s="5" t="s">
        <v>343</v>
      </c>
      <c r="J147" s="5" t="n">
        <v>20</v>
      </c>
      <c r="K147" s="5"/>
      <c r="L147" s="5"/>
    </row>
    <row r="148" customFormat="false" ht="15" hidden="false" customHeight="false" outlineLevel="0" collapsed="false">
      <c r="A148" s="5" t="s">
        <v>455</v>
      </c>
      <c r="B148" s="5" t="n">
        <v>1</v>
      </c>
      <c r="C148" s="5" t="n">
        <v>1</v>
      </c>
      <c r="D148" s="5" t="n">
        <v>8</v>
      </c>
      <c r="E148" s="5" t="n">
        <v>200</v>
      </c>
      <c r="F148" s="5"/>
      <c r="G148" s="5" t="s">
        <v>52</v>
      </c>
      <c r="H148" s="5" t="s">
        <v>1322</v>
      </c>
      <c r="I148" s="5" t="s">
        <v>343</v>
      </c>
      <c r="J148" s="5" t="n">
        <v>20</v>
      </c>
      <c r="K148" s="5"/>
      <c r="L148" s="5"/>
    </row>
    <row r="149" customFormat="false" ht="15" hidden="false" customHeight="false" outlineLevel="0" collapsed="false">
      <c r="A149" s="5" t="s">
        <v>458</v>
      </c>
      <c r="B149" s="5" t="n">
        <v>1</v>
      </c>
      <c r="C149" s="5" t="n">
        <v>1</v>
      </c>
      <c r="D149" s="5" t="n">
        <v>10</v>
      </c>
      <c r="E149" s="5" t="n">
        <v>100</v>
      </c>
      <c r="F149" s="5"/>
      <c r="G149" s="5" t="s">
        <v>48</v>
      </c>
      <c r="H149" s="5" t="s">
        <v>1323</v>
      </c>
      <c r="I149" s="5" t="s">
        <v>343</v>
      </c>
      <c r="J149" s="5" t="n">
        <v>15</v>
      </c>
      <c r="K149" s="5"/>
      <c r="L149" s="5"/>
    </row>
    <row r="150" customFormat="false" ht="15" hidden="false" customHeight="false" outlineLevel="0" collapsed="false">
      <c r="A150" s="5" t="s">
        <v>461</v>
      </c>
      <c r="B150" s="5" t="n">
        <v>1</v>
      </c>
      <c r="C150" s="5" t="n">
        <v>1</v>
      </c>
      <c r="D150" s="5" t="n">
        <v>10</v>
      </c>
      <c r="E150" s="5" t="n">
        <v>100</v>
      </c>
      <c r="F150" s="5"/>
      <c r="G150" s="5" t="s">
        <v>115</v>
      </c>
      <c r="H150" s="5" t="s">
        <v>1323</v>
      </c>
      <c r="I150" s="5" t="s">
        <v>343</v>
      </c>
      <c r="J150" s="5" t="n">
        <v>15</v>
      </c>
      <c r="K150" s="5"/>
      <c r="L150" s="5"/>
    </row>
    <row r="151" customFormat="false" ht="15" hidden="false" customHeight="false" outlineLevel="0" collapsed="false">
      <c r="A151" s="5" t="s">
        <v>464</v>
      </c>
      <c r="B151" s="5" t="n">
        <v>1</v>
      </c>
      <c r="C151" s="5" t="n">
        <v>1</v>
      </c>
      <c r="D151" s="5" t="n">
        <v>10</v>
      </c>
      <c r="E151" s="5" t="n">
        <v>100</v>
      </c>
      <c r="F151" s="5"/>
      <c r="G151" s="5" t="s">
        <v>119</v>
      </c>
      <c r="H151" s="5" t="s">
        <v>1323</v>
      </c>
      <c r="I151" s="5" t="s">
        <v>343</v>
      </c>
      <c r="J151" s="5" t="n">
        <v>15</v>
      </c>
      <c r="K151" s="5"/>
      <c r="L151" s="5"/>
    </row>
    <row r="152" customFormat="false" ht="15" hidden="false" customHeight="false" outlineLevel="0" collapsed="false">
      <c r="A152" s="5" t="s">
        <v>467</v>
      </c>
      <c r="B152" s="5" t="n">
        <v>1</v>
      </c>
      <c r="C152" s="5" t="n">
        <v>1</v>
      </c>
      <c r="D152" s="5" t="n">
        <v>10</v>
      </c>
      <c r="E152" s="5" t="n">
        <v>50</v>
      </c>
      <c r="F152" s="5"/>
      <c r="G152" s="5" t="s">
        <v>123</v>
      </c>
      <c r="H152" s="5" t="s">
        <v>1323</v>
      </c>
      <c r="I152" s="5" t="s">
        <v>343</v>
      </c>
      <c r="J152" s="5" t="n">
        <v>15</v>
      </c>
      <c r="K152" s="5"/>
      <c r="L152" s="5"/>
    </row>
    <row r="153" customFormat="false" ht="15" hidden="false" customHeight="false" outlineLevel="0" collapsed="false">
      <c r="A153" s="5" t="s">
        <v>470</v>
      </c>
      <c r="B153" s="5" t="n">
        <v>1</v>
      </c>
      <c r="C153" s="5" t="n">
        <v>1</v>
      </c>
      <c r="D153" s="5" t="n">
        <v>10</v>
      </c>
      <c r="E153" s="5" t="n">
        <v>100</v>
      </c>
      <c r="F153" s="5"/>
      <c r="G153" s="5" t="s">
        <v>52</v>
      </c>
      <c r="H153" s="5" t="s">
        <v>1323</v>
      </c>
      <c r="I153" s="5" t="s">
        <v>343</v>
      </c>
      <c r="J153" s="5" t="n">
        <v>15</v>
      </c>
      <c r="K153" s="5"/>
      <c r="L153" s="5"/>
    </row>
    <row r="154" customFormat="false" ht="15" hidden="false" customHeight="false" outlineLevel="0" collapsed="false">
      <c r="A154" s="5" t="s">
        <v>473</v>
      </c>
      <c r="B154" s="5" t="n">
        <v>1</v>
      </c>
      <c r="C154" s="5" t="n">
        <v>1</v>
      </c>
      <c r="D154" s="5" t="n">
        <v>16</v>
      </c>
      <c r="E154" s="5" t="n">
        <v>50</v>
      </c>
      <c r="F154" s="5"/>
      <c r="G154" s="5" t="s">
        <v>48</v>
      </c>
      <c r="H154" s="5" t="s">
        <v>1322</v>
      </c>
      <c r="I154" s="5" t="s">
        <v>343</v>
      </c>
      <c r="J154" s="5" t="n">
        <v>10</v>
      </c>
      <c r="K154" s="5"/>
      <c r="L154" s="5"/>
    </row>
    <row r="155" customFormat="false" ht="15" hidden="false" customHeight="false" outlineLevel="0" collapsed="false">
      <c r="A155" s="5" t="s">
        <v>476</v>
      </c>
      <c r="B155" s="5" t="n">
        <v>1</v>
      </c>
      <c r="C155" s="5" t="n">
        <v>1</v>
      </c>
      <c r="D155" s="5" t="n">
        <v>16</v>
      </c>
      <c r="E155" s="5" t="n">
        <v>50</v>
      </c>
      <c r="F155" s="5"/>
      <c r="G155" s="5" t="s">
        <v>115</v>
      </c>
      <c r="H155" s="5" t="s">
        <v>1322</v>
      </c>
      <c r="I155" s="5" t="s">
        <v>343</v>
      </c>
      <c r="J155" s="5" t="n">
        <v>10</v>
      </c>
      <c r="K155" s="5"/>
      <c r="L155" s="5"/>
    </row>
    <row r="156" customFormat="false" ht="15" hidden="false" customHeight="false" outlineLevel="0" collapsed="false">
      <c r="A156" s="5" t="s">
        <v>479</v>
      </c>
      <c r="B156" s="5" t="n">
        <v>1</v>
      </c>
      <c r="C156" s="5" t="n">
        <v>1</v>
      </c>
      <c r="D156" s="5" t="n">
        <v>16</v>
      </c>
      <c r="E156" s="5" t="n">
        <v>50</v>
      </c>
      <c r="F156" s="5"/>
      <c r="G156" s="5" t="s">
        <v>119</v>
      </c>
      <c r="H156" s="5" t="s">
        <v>1322</v>
      </c>
      <c r="I156" s="5" t="s">
        <v>343</v>
      </c>
      <c r="J156" s="5" t="n">
        <v>10</v>
      </c>
      <c r="K156" s="5"/>
      <c r="L156" s="5"/>
    </row>
    <row r="157" customFormat="false" ht="15" hidden="false" customHeight="false" outlineLevel="0" collapsed="false">
      <c r="A157" s="5" t="s">
        <v>482</v>
      </c>
      <c r="B157" s="5" t="n">
        <v>1</v>
      </c>
      <c r="C157" s="5" t="n">
        <v>1</v>
      </c>
      <c r="D157" s="5" t="n">
        <v>8</v>
      </c>
      <c r="E157" s="5" t="n">
        <v>50</v>
      </c>
      <c r="F157" s="5"/>
      <c r="G157" s="5" t="s">
        <v>123</v>
      </c>
      <c r="H157" s="5" t="s">
        <v>1322</v>
      </c>
      <c r="I157" s="5" t="s">
        <v>343</v>
      </c>
      <c r="J157" s="5" t="n">
        <v>10</v>
      </c>
      <c r="K157" s="5"/>
      <c r="L157" s="5"/>
    </row>
    <row r="158" customFormat="false" ht="15" hidden="false" customHeight="false" outlineLevel="0" collapsed="false">
      <c r="A158" s="5" t="s">
        <v>485</v>
      </c>
      <c r="B158" s="5" t="n">
        <v>1</v>
      </c>
      <c r="C158" s="5" t="n">
        <v>1</v>
      </c>
      <c r="D158" s="5" t="n">
        <v>10</v>
      </c>
      <c r="E158" s="5" t="n">
        <v>100</v>
      </c>
      <c r="F158" s="5"/>
      <c r="G158" s="5" t="s">
        <v>48</v>
      </c>
      <c r="H158" s="5" t="s">
        <v>1324</v>
      </c>
      <c r="I158" s="5" t="s">
        <v>108</v>
      </c>
      <c r="J158" s="5" t="n">
        <v>15</v>
      </c>
      <c r="K158" s="5"/>
      <c r="L158" s="5"/>
    </row>
    <row r="159" customFormat="false" ht="15" hidden="false" customHeight="false" outlineLevel="0" collapsed="false">
      <c r="A159" s="5" t="s">
        <v>488</v>
      </c>
      <c r="B159" s="5" t="n">
        <v>1</v>
      </c>
      <c r="C159" s="5" t="n">
        <v>1</v>
      </c>
      <c r="D159" s="5" t="n">
        <v>10</v>
      </c>
      <c r="E159" s="5" t="n">
        <v>100</v>
      </c>
      <c r="F159" s="5"/>
      <c r="G159" s="5" t="s">
        <v>115</v>
      </c>
      <c r="H159" s="5" t="s">
        <v>1324</v>
      </c>
      <c r="I159" s="5" t="s">
        <v>108</v>
      </c>
      <c r="J159" s="5" t="n">
        <v>15</v>
      </c>
      <c r="K159" s="5"/>
      <c r="L159" s="5"/>
    </row>
    <row r="160" customFormat="false" ht="15" hidden="false" customHeight="false" outlineLevel="0" collapsed="false">
      <c r="A160" s="5" t="s">
        <v>491</v>
      </c>
      <c r="B160" s="5" t="n">
        <v>1</v>
      </c>
      <c r="C160" s="5" t="n">
        <v>1</v>
      </c>
      <c r="D160" s="5" t="n">
        <v>10</v>
      </c>
      <c r="E160" s="5" t="n">
        <v>100</v>
      </c>
      <c r="F160" s="5"/>
      <c r="G160" s="5" t="s">
        <v>119</v>
      </c>
      <c r="H160" s="5" t="s">
        <v>1324</v>
      </c>
      <c r="I160" s="5" t="s">
        <v>108</v>
      </c>
      <c r="J160" s="5" t="n">
        <v>15</v>
      </c>
      <c r="K160" s="5"/>
      <c r="L160" s="5"/>
    </row>
    <row r="161" customFormat="false" ht="15" hidden="false" customHeight="false" outlineLevel="0" collapsed="false">
      <c r="A161" s="5" t="s">
        <v>494</v>
      </c>
      <c r="B161" s="5" t="n">
        <v>1</v>
      </c>
      <c r="C161" s="5" t="n">
        <v>1</v>
      </c>
      <c r="D161" s="5" t="n">
        <v>10</v>
      </c>
      <c r="E161" s="5" t="n">
        <v>50</v>
      </c>
      <c r="F161" s="5"/>
      <c r="G161" s="5" t="s">
        <v>123</v>
      </c>
      <c r="H161" s="5" t="s">
        <v>1324</v>
      </c>
      <c r="I161" s="5" t="s">
        <v>108</v>
      </c>
      <c r="J161" s="5" t="n">
        <v>15</v>
      </c>
      <c r="K161" s="5"/>
      <c r="L161" s="5"/>
    </row>
    <row r="162" customFormat="false" ht="15" hidden="false" customHeight="false" outlineLevel="0" collapsed="false">
      <c r="A162" s="5" t="s">
        <v>497</v>
      </c>
      <c r="B162" s="5" t="n">
        <v>1</v>
      </c>
      <c r="C162" s="5" t="n">
        <v>1</v>
      </c>
      <c r="D162" s="5" t="n">
        <v>10</v>
      </c>
      <c r="E162" s="5" t="n">
        <v>100</v>
      </c>
      <c r="F162" s="5"/>
      <c r="G162" s="5" t="s">
        <v>52</v>
      </c>
      <c r="H162" s="5" t="s">
        <v>1324</v>
      </c>
      <c r="I162" s="5" t="s">
        <v>108</v>
      </c>
      <c r="J162" s="5" t="n">
        <v>15</v>
      </c>
      <c r="K162" s="5"/>
      <c r="L162" s="5"/>
    </row>
    <row r="163" customFormat="false" ht="15" hidden="false" customHeight="false" outlineLevel="0" collapsed="false">
      <c r="A163" s="5" t="s">
        <v>500</v>
      </c>
      <c r="B163" s="5" t="n">
        <v>1</v>
      </c>
      <c r="C163" s="5" t="n">
        <v>1</v>
      </c>
      <c r="D163" s="5" t="n">
        <v>5</v>
      </c>
      <c r="E163" s="5" t="n">
        <v>200</v>
      </c>
      <c r="F163" s="5"/>
      <c r="G163" s="5" t="s">
        <v>48</v>
      </c>
      <c r="H163" s="5" t="s">
        <v>1325</v>
      </c>
      <c r="I163" s="5" t="s">
        <v>108</v>
      </c>
      <c r="J163" s="5" t="n">
        <v>20</v>
      </c>
      <c r="K163" s="5"/>
      <c r="L163" s="5"/>
    </row>
    <row r="164" customFormat="false" ht="15" hidden="false" customHeight="false" outlineLevel="0" collapsed="false">
      <c r="A164" s="5" t="s">
        <v>503</v>
      </c>
      <c r="B164" s="5" t="n">
        <v>1</v>
      </c>
      <c r="C164" s="5" t="n">
        <v>1</v>
      </c>
      <c r="D164" s="5" t="n">
        <v>5</v>
      </c>
      <c r="E164" s="5" t="n">
        <v>200</v>
      </c>
      <c r="F164" s="5"/>
      <c r="G164" s="5" t="s">
        <v>115</v>
      </c>
      <c r="H164" s="5" t="s">
        <v>1325</v>
      </c>
      <c r="I164" s="5" t="s">
        <v>108</v>
      </c>
      <c r="J164" s="5" t="n">
        <v>20</v>
      </c>
      <c r="K164" s="5"/>
      <c r="L164" s="5"/>
    </row>
    <row r="165" customFormat="false" ht="15" hidden="false" customHeight="false" outlineLevel="0" collapsed="false">
      <c r="A165" s="5" t="s">
        <v>506</v>
      </c>
      <c r="B165" s="5" t="n">
        <v>1</v>
      </c>
      <c r="C165" s="5" t="n">
        <v>1</v>
      </c>
      <c r="D165" s="5" t="n">
        <v>5</v>
      </c>
      <c r="E165" s="5" t="n">
        <v>200</v>
      </c>
      <c r="F165" s="5"/>
      <c r="G165" s="5" t="s">
        <v>119</v>
      </c>
      <c r="H165" s="5" t="s">
        <v>1325</v>
      </c>
      <c r="I165" s="5" t="s">
        <v>108</v>
      </c>
      <c r="J165" s="5" t="n">
        <v>20</v>
      </c>
      <c r="K165" s="5"/>
      <c r="L165" s="5"/>
    </row>
    <row r="166" customFormat="false" ht="15" hidden="false" customHeight="false" outlineLevel="0" collapsed="false">
      <c r="A166" s="5" t="s">
        <v>509</v>
      </c>
      <c r="B166" s="5" t="n">
        <v>1</v>
      </c>
      <c r="C166" s="5" t="n">
        <v>1</v>
      </c>
      <c r="D166" s="5" t="n">
        <v>5</v>
      </c>
      <c r="E166" s="5" t="n">
        <v>100</v>
      </c>
      <c r="F166" s="5"/>
      <c r="G166" s="5" t="s">
        <v>123</v>
      </c>
      <c r="H166" s="5" t="s">
        <v>1325</v>
      </c>
      <c r="I166" s="5" t="s">
        <v>108</v>
      </c>
      <c r="J166" s="5" t="n">
        <v>20</v>
      </c>
      <c r="K166" s="5"/>
      <c r="L166" s="5"/>
    </row>
    <row r="167" customFormat="false" ht="15" hidden="false" customHeight="false" outlineLevel="0" collapsed="false">
      <c r="A167" s="5" t="s">
        <v>512</v>
      </c>
      <c r="B167" s="5" t="n">
        <v>1</v>
      </c>
      <c r="C167" s="5" t="n">
        <v>1</v>
      </c>
      <c r="D167" s="5" t="n">
        <v>5</v>
      </c>
      <c r="E167" s="5" t="n">
        <v>200</v>
      </c>
      <c r="F167" s="5"/>
      <c r="G167" s="5" t="s">
        <v>52</v>
      </c>
      <c r="H167" s="5" t="s">
        <v>1325</v>
      </c>
      <c r="I167" s="5" t="s">
        <v>108</v>
      </c>
      <c r="J167" s="5" t="n">
        <v>20</v>
      </c>
      <c r="K167" s="5"/>
      <c r="L167" s="5"/>
    </row>
    <row r="168" customFormat="false" ht="15" hidden="false" customHeight="false" outlineLevel="0" collapsed="false">
      <c r="A168" s="5" t="s">
        <v>515</v>
      </c>
      <c r="B168" s="5" t="n">
        <v>1</v>
      </c>
      <c r="C168" s="5" t="n">
        <v>1</v>
      </c>
      <c r="D168" s="5" t="n">
        <v>3</v>
      </c>
      <c r="E168" s="5" t="n">
        <v>400</v>
      </c>
      <c r="F168" s="5"/>
      <c r="G168" s="5" t="s">
        <v>48</v>
      </c>
      <c r="H168" s="5" t="s">
        <v>1325</v>
      </c>
      <c r="I168" s="5" t="s">
        <v>108</v>
      </c>
      <c r="J168" s="5" t="n">
        <v>30</v>
      </c>
      <c r="K168" s="5"/>
      <c r="L168" s="5"/>
    </row>
    <row r="169" customFormat="false" ht="15" hidden="false" customHeight="false" outlineLevel="0" collapsed="false">
      <c r="A169" s="5" t="s">
        <v>518</v>
      </c>
      <c r="B169" s="5" t="n">
        <v>1</v>
      </c>
      <c r="C169" s="5" t="n">
        <v>1</v>
      </c>
      <c r="D169" s="5" t="n">
        <v>3</v>
      </c>
      <c r="E169" s="5" t="n">
        <v>400</v>
      </c>
      <c r="F169" s="5"/>
      <c r="G169" s="5" t="s">
        <v>115</v>
      </c>
      <c r="H169" s="5" t="s">
        <v>1325</v>
      </c>
      <c r="I169" s="5" t="s">
        <v>108</v>
      </c>
      <c r="J169" s="5" t="n">
        <v>30</v>
      </c>
      <c r="K169" s="5"/>
      <c r="L169" s="5"/>
    </row>
    <row r="170" customFormat="false" ht="15" hidden="false" customHeight="false" outlineLevel="0" collapsed="false">
      <c r="A170" s="5" t="s">
        <v>521</v>
      </c>
      <c r="B170" s="5" t="n">
        <v>1</v>
      </c>
      <c r="C170" s="5" t="n">
        <v>1</v>
      </c>
      <c r="D170" s="5" t="n">
        <v>3</v>
      </c>
      <c r="E170" s="5" t="n">
        <v>400</v>
      </c>
      <c r="F170" s="5"/>
      <c r="G170" s="5" t="s">
        <v>119</v>
      </c>
      <c r="H170" s="5" t="s">
        <v>1325</v>
      </c>
      <c r="I170" s="5" t="s">
        <v>108</v>
      </c>
      <c r="J170" s="5" t="n">
        <v>30</v>
      </c>
      <c r="K170" s="5"/>
      <c r="L170" s="5"/>
    </row>
    <row r="171" customFormat="false" ht="15" hidden="false" customHeight="false" outlineLevel="0" collapsed="false">
      <c r="A171" s="5" t="s">
        <v>524</v>
      </c>
      <c r="B171" s="5" t="n">
        <v>1</v>
      </c>
      <c r="C171" s="5" t="n">
        <v>1</v>
      </c>
      <c r="D171" s="5" t="n">
        <v>3</v>
      </c>
      <c r="E171" s="5" t="n">
        <v>200</v>
      </c>
      <c r="F171" s="5"/>
      <c r="G171" s="5" t="s">
        <v>123</v>
      </c>
      <c r="H171" s="5" t="s">
        <v>1325</v>
      </c>
      <c r="I171" s="5" t="s">
        <v>108</v>
      </c>
      <c r="J171" s="5" t="n">
        <v>30</v>
      </c>
      <c r="K171" s="5"/>
      <c r="L171" s="5"/>
    </row>
    <row r="172" customFormat="false" ht="15" hidden="false" customHeight="false" outlineLevel="0" collapsed="false">
      <c r="A172" s="5" t="s">
        <v>527</v>
      </c>
      <c r="B172" s="5" t="n">
        <v>1</v>
      </c>
      <c r="C172" s="5" t="n">
        <v>1</v>
      </c>
      <c r="D172" s="5" t="n">
        <v>3</v>
      </c>
      <c r="E172" s="5" t="n">
        <v>400</v>
      </c>
      <c r="F172" s="5"/>
      <c r="G172" s="5" t="s">
        <v>52</v>
      </c>
      <c r="H172" s="5" t="s">
        <v>1325</v>
      </c>
      <c r="I172" s="5" t="s">
        <v>108</v>
      </c>
      <c r="J172" s="5" t="n">
        <v>30</v>
      </c>
      <c r="K172" s="5"/>
      <c r="L172" s="5"/>
    </row>
    <row r="173" customFormat="false" ht="15" hidden="false" customHeight="false" outlineLevel="0" collapsed="false">
      <c r="A173" s="5" t="s">
        <v>530</v>
      </c>
      <c r="B173" s="5" t="n">
        <v>1</v>
      </c>
      <c r="C173" s="5" t="n">
        <v>1</v>
      </c>
      <c r="D173" s="5" t="n">
        <v>20</v>
      </c>
      <c r="E173" s="5" t="n">
        <v>50</v>
      </c>
      <c r="F173" s="5"/>
      <c r="G173" s="5" t="s">
        <v>48</v>
      </c>
      <c r="H173" s="5" t="s">
        <v>1325</v>
      </c>
      <c r="I173" s="5" t="s">
        <v>108</v>
      </c>
      <c r="J173" s="5" t="n">
        <v>10</v>
      </c>
      <c r="K173" s="5"/>
      <c r="L173" s="5"/>
    </row>
    <row r="174" customFormat="false" ht="15" hidden="false" customHeight="false" outlineLevel="0" collapsed="false">
      <c r="A174" s="5" t="s">
        <v>533</v>
      </c>
      <c r="B174" s="5" t="n">
        <v>1</v>
      </c>
      <c r="C174" s="5" t="n">
        <v>1</v>
      </c>
      <c r="D174" s="5" t="n">
        <v>20</v>
      </c>
      <c r="E174" s="5" t="n">
        <v>50</v>
      </c>
      <c r="F174" s="5"/>
      <c r="G174" s="5" t="s">
        <v>115</v>
      </c>
      <c r="H174" s="5" t="s">
        <v>1325</v>
      </c>
      <c r="I174" s="5" t="s">
        <v>108</v>
      </c>
      <c r="J174" s="5" t="n">
        <v>10</v>
      </c>
      <c r="K174" s="5"/>
      <c r="L174" s="5"/>
    </row>
    <row r="175" customFormat="false" ht="15" hidden="false" customHeight="false" outlineLevel="0" collapsed="false">
      <c r="A175" s="5" t="s">
        <v>536</v>
      </c>
      <c r="B175" s="5" t="n">
        <v>1</v>
      </c>
      <c r="C175" s="5" t="n">
        <v>1</v>
      </c>
      <c r="D175" s="5" t="n">
        <v>20</v>
      </c>
      <c r="E175" s="5" t="n">
        <v>50</v>
      </c>
      <c r="F175" s="5"/>
      <c r="G175" s="5" t="s">
        <v>119</v>
      </c>
      <c r="H175" s="5" t="s">
        <v>1325</v>
      </c>
      <c r="I175" s="5" t="s">
        <v>108</v>
      </c>
      <c r="J175" s="5" t="n">
        <v>10</v>
      </c>
      <c r="K175" s="5"/>
      <c r="L175" s="5"/>
    </row>
    <row r="176" customFormat="false" ht="15" hidden="false" customHeight="false" outlineLevel="0" collapsed="false">
      <c r="A176" s="5" t="s">
        <v>539</v>
      </c>
      <c r="B176" s="5" t="n">
        <v>1</v>
      </c>
      <c r="C176" s="5" t="n">
        <v>1</v>
      </c>
      <c r="D176" s="5" t="n">
        <v>10</v>
      </c>
      <c r="E176" s="5" t="n">
        <v>50</v>
      </c>
      <c r="F176" s="5"/>
      <c r="G176" s="5" t="s">
        <v>123</v>
      </c>
      <c r="H176" s="5" t="s">
        <v>1325</v>
      </c>
      <c r="I176" s="5" t="s">
        <v>108</v>
      </c>
      <c r="J176" s="5" t="n">
        <v>10</v>
      </c>
      <c r="K176" s="5"/>
      <c r="L176" s="5"/>
    </row>
    <row r="177" customFormat="false" ht="15" hidden="false" customHeight="false" outlineLevel="0" collapsed="false">
      <c r="A177" s="5" t="s">
        <v>541</v>
      </c>
      <c r="B177" s="5" t="n">
        <v>1</v>
      </c>
      <c r="C177" s="5" t="n">
        <v>1</v>
      </c>
      <c r="D177" s="5" t="n">
        <v>8</v>
      </c>
      <c r="E177" s="5" t="n">
        <v>100</v>
      </c>
      <c r="F177" s="5"/>
      <c r="G177" s="5" t="s">
        <v>48</v>
      </c>
      <c r="H177" s="5" t="s">
        <v>1326</v>
      </c>
      <c r="I177" s="5" t="s">
        <v>139</v>
      </c>
      <c r="J177" s="5" t="n">
        <v>30</v>
      </c>
      <c r="K177" s="5"/>
      <c r="L177" s="5"/>
    </row>
    <row r="178" customFormat="false" ht="15" hidden="false" customHeight="false" outlineLevel="0" collapsed="false">
      <c r="A178" s="5" t="s">
        <v>545</v>
      </c>
      <c r="B178" s="5" t="n">
        <v>1</v>
      </c>
      <c r="C178" s="5" t="n">
        <v>1</v>
      </c>
      <c r="D178" s="5" t="n">
        <v>8</v>
      </c>
      <c r="E178" s="5" t="n">
        <v>100</v>
      </c>
      <c r="F178" s="5"/>
      <c r="G178" s="5" t="s">
        <v>115</v>
      </c>
      <c r="H178" s="5" t="s">
        <v>1326</v>
      </c>
      <c r="I178" s="5" t="s">
        <v>139</v>
      </c>
      <c r="J178" s="5" t="n">
        <v>30</v>
      </c>
      <c r="K178" s="5"/>
      <c r="L178" s="5"/>
    </row>
    <row r="179" customFormat="false" ht="15" hidden="false" customHeight="false" outlineLevel="0" collapsed="false">
      <c r="A179" s="5" t="s">
        <v>548</v>
      </c>
      <c r="B179" s="5" t="n">
        <v>1</v>
      </c>
      <c r="C179" s="5" t="n">
        <v>1</v>
      </c>
      <c r="D179" s="5" t="n">
        <v>8</v>
      </c>
      <c r="E179" s="5" t="n">
        <v>100</v>
      </c>
      <c r="F179" s="5"/>
      <c r="G179" s="5" t="s">
        <v>119</v>
      </c>
      <c r="H179" s="5" t="s">
        <v>1326</v>
      </c>
      <c r="I179" s="5" t="s">
        <v>139</v>
      </c>
      <c r="J179" s="5" t="n">
        <v>30</v>
      </c>
      <c r="K179" s="5"/>
      <c r="L179" s="5"/>
    </row>
    <row r="180" customFormat="false" ht="15" hidden="false" customHeight="false" outlineLevel="0" collapsed="false">
      <c r="A180" s="5" t="s">
        <v>551</v>
      </c>
      <c r="B180" s="5" t="n">
        <v>1</v>
      </c>
      <c r="C180" s="5" t="n">
        <v>1</v>
      </c>
      <c r="D180" s="5" t="n">
        <v>8</v>
      </c>
      <c r="E180" s="5" t="n">
        <v>50</v>
      </c>
      <c r="F180" s="5"/>
      <c r="G180" s="5" t="s">
        <v>123</v>
      </c>
      <c r="H180" s="5" t="s">
        <v>1326</v>
      </c>
      <c r="I180" s="5" t="s">
        <v>139</v>
      </c>
      <c r="J180" s="5" t="n">
        <v>30</v>
      </c>
      <c r="K180" s="5"/>
      <c r="L180" s="5"/>
    </row>
    <row r="181" customFormat="false" ht="15" hidden="false" customHeight="false" outlineLevel="0" collapsed="false">
      <c r="A181" s="5" t="s">
        <v>554</v>
      </c>
      <c r="B181" s="5" t="n">
        <v>1</v>
      </c>
      <c r="C181" s="5" t="n">
        <v>1</v>
      </c>
      <c r="D181" s="5" t="n">
        <v>8</v>
      </c>
      <c r="E181" s="5" t="n">
        <v>100</v>
      </c>
      <c r="F181" s="5"/>
      <c r="G181" s="5" t="s">
        <v>52</v>
      </c>
      <c r="H181" s="5" t="s">
        <v>1326</v>
      </c>
      <c r="I181" s="5" t="s">
        <v>139</v>
      </c>
      <c r="J181" s="5" t="n">
        <v>30</v>
      </c>
      <c r="K181" s="5"/>
      <c r="L181" s="5"/>
    </row>
    <row r="182" customFormat="false" ht="15" hidden="false" customHeight="false" outlineLevel="0" collapsed="false">
      <c r="A182" s="5" t="s">
        <v>557</v>
      </c>
      <c r="B182" s="5" t="n">
        <v>1</v>
      </c>
      <c r="C182" s="5" t="n">
        <v>1</v>
      </c>
      <c r="D182" s="5" t="n">
        <v>6</v>
      </c>
      <c r="E182" s="5" t="n">
        <v>200</v>
      </c>
      <c r="F182" s="5"/>
      <c r="G182" s="5" t="s">
        <v>48</v>
      </c>
      <c r="H182" s="5" t="s">
        <v>1327</v>
      </c>
      <c r="I182" s="5" t="s">
        <v>139</v>
      </c>
      <c r="J182" s="5" t="n">
        <v>45</v>
      </c>
      <c r="K182" s="5"/>
      <c r="L182" s="5"/>
    </row>
    <row r="183" customFormat="false" ht="15" hidden="false" customHeight="false" outlineLevel="0" collapsed="false">
      <c r="A183" s="5" t="s">
        <v>560</v>
      </c>
      <c r="B183" s="5" t="n">
        <v>1</v>
      </c>
      <c r="C183" s="5" t="n">
        <v>1</v>
      </c>
      <c r="D183" s="5" t="n">
        <v>6</v>
      </c>
      <c r="E183" s="5" t="n">
        <v>200</v>
      </c>
      <c r="F183" s="5"/>
      <c r="G183" s="5" t="s">
        <v>115</v>
      </c>
      <c r="H183" s="5" t="s">
        <v>1327</v>
      </c>
      <c r="I183" s="5" t="s">
        <v>139</v>
      </c>
      <c r="J183" s="5" t="n">
        <v>45</v>
      </c>
      <c r="K183" s="5"/>
      <c r="L183" s="5"/>
    </row>
    <row r="184" customFormat="false" ht="15" hidden="false" customHeight="false" outlineLevel="0" collapsed="false">
      <c r="A184" s="5" t="s">
        <v>563</v>
      </c>
      <c r="B184" s="5" t="n">
        <v>1</v>
      </c>
      <c r="C184" s="5" t="n">
        <v>1</v>
      </c>
      <c r="D184" s="5" t="n">
        <v>6</v>
      </c>
      <c r="E184" s="5" t="n">
        <v>200</v>
      </c>
      <c r="F184" s="5"/>
      <c r="G184" s="5" t="s">
        <v>119</v>
      </c>
      <c r="H184" s="5" t="s">
        <v>1327</v>
      </c>
      <c r="I184" s="5" t="s">
        <v>139</v>
      </c>
      <c r="J184" s="5" t="n">
        <v>45</v>
      </c>
      <c r="K184" s="5"/>
      <c r="L184" s="5"/>
    </row>
    <row r="185" customFormat="false" ht="15" hidden="false" customHeight="false" outlineLevel="0" collapsed="false">
      <c r="A185" s="5" t="s">
        <v>566</v>
      </c>
      <c r="B185" s="5" t="n">
        <v>1</v>
      </c>
      <c r="C185" s="5" t="n">
        <v>1</v>
      </c>
      <c r="D185" s="5" t="n">
        <v>6</v>
      </c>
      <c r="E185" s="5" t="n">
        <v>100</v>
      </c>
      <c r="F185" s="5"/>
      <c r="G185" s="5" t="s">
        <v>123</v>
      </c>
      <c r="H185" s="5" t="s">
        <v>1327</v>
      </c>
      <c r="I185" s="5" t="s">
        <v>139</v>
      </c>
      <c r="J185" s="5" t="n">
        <v>45</v>
      </c>
      <c r="K185" s="5"/>
      <c r="L185" s="5"/>
    </row>
    <row r="186" customFormat="false" ht="15" hidden="false" customHeight="false" outlineLevel="0" collapsed="false">
      <c r="A186" s="5" t="s">
        <v>569</v>
      </c>
      <c r="B186" s="5" t="n">
        <v>1</v>
      </c>
      <c r="C186" s="5" t="n">
        <v>1</v>
      </c>
      <c r="D186" s="5" t="n">
        <v>6</v>
      </c>
      <c r="E186" s="5" t="n">
        <v>200</v>
      </c>
      <c r="F186" s="5"/>
      <c r="G186" s="5" t="s">
        <v>52</v>
      </c>
      <c r="H186" s="5" t="s">
        <v>1327</v>
      </c>
      <c r="I186" s="5" t="s">
        <v>139</v>
      </c>
      <c r="J186" s="5" t="n">
        <v>45</v>
      </c>
      <c r="K186" s="5"/>
      <c r="L186" s="5"/>
    </row>
    <row r="187" customFormat="false" ht="15" hidden="false" customHeight="false" outlineLevel="0" collapsed="false">
      <c r="A187" s="5" t="s">
        <v>572</v>
      </c>
      <c r="B187" s="5" t="n">
        <v>1</v>
      </c>
      <c r="C187" s="5" t="n">
        <v>1</v>
      </c>
      <c r="D187" s="5" t="n">
        <v>12</v>
      </c>
      <c r="E187" s="5" t="n">
        <v>50</v>
      </c>
      <c r="F187" s="5"/>
      <c r="G187" s="5" t="s">
        <v>48</v>
      </c>
      <c r="H187" s="5" t="s">
        <v>1327</v>
      </c>
      <c r="I187" s="5" t="s">
        <v>139</v>
      </c>
      <c r="J187" s="5" t="n">
        <v>20</v>
      </c>
      <c r="K187" s="5"/>
      <c r="L187" s="5"/>
    </row>
    <row r="188" customFormat="false" ht="15" hidden="false" customHeight="false" outlineLevel="0" collapsed="false">
      <c r="A188" s="5" t="s">
        <v>575</v>
      </c>
      <c r="B188" s="5" t="n">
        <v>1</v>
      </c>
      <c r="C188" s="5" t="n">
        <v>1</v>
      </c>
      <c r="D188" s="5" t="n">
        <v>12</v>
      </c>
      <c r="E188" s="5" t="n">
        <v>50</v>
      </c>
      <c r="F188" s="5"/>
      <c r="G188" s="5" t="s">
        <v>115</v>
      </c>
      <c r="H188" s="5" t="s">
        <v>1327</v>
      </c>
      <c r="I188" s="5" t="s">
        <v>139</v>
      </c>
      <c r="J188" s="5" t="n">
        <v>20</v>
      </c>
      <c r="K188" s="5"/>
      <c r="L188" s="5"/>
    </row>
    <row r="189" customFormat="false" ht="15" hidden="false" customHeight="false" outlineLevel="0" collapsed="false">
      <c r="A189" s="5" t="s">
        <v>578</v>
      </c>
      <c r="B189" s="5" t="n">
        <v>1</v>
      </c>
      <c r="C189" s="5" t="n">
        <v>1</v>
      </c>
      <c r="D189" s="5" t="n">
        <v>12</v>
      </c>
      <c r="E189" s="5" t="n">
        <v>50</v>
      </c>
      <c r="F189" s="5"/>
      <c r="G189" s="5" t="s">
        <v>119</v>
      </c>
      <c r="H189" s="5" t="s">
        <v>1327</v>
      </c>
      <c r="I189" s="5" t="s">
        <v>139</v>
      </c>
      <c r="J189" s="5" t="n">
        <v>20</v>
      </c>
      <c r="K189" s="5"/>
      <c r="L189" s="5"/>
    </row>
    <row r="190" customFormat="false" ht="15" hidden="false" customHeight="false" outlineLevel="0" collapsed="false">
      <c r="A190" s="5" t="s">
        <v>581</v>
      </c>
      <c r="B190" s="5" t="n">
        <v>1</v>
      </c>
      <c r="C190" s="5" t="n">
        <v>1</v>
      </c>
      <c r="D190" s="5" t="n">
        <v>6</v>
      </c>
      <c r="E190" s="5" t="n">
        <v>50</v>
      </c>
      <c r="F190" s="5"/>
      <c r="G190" s="5" t="s">
        <v>123</v>
      </c>
      <c r="H190" s="5" t="s">
        <v>1327</v>
      </c>
      <c r="I190" s="5" t="s">
        <v>139</v>
      </c>
      <c r="J190" s="5" t="n">
        <v>20</v>
      </c>
      <c r="K190" s="5"/>
      <c r="L190" s="5"/>
    </row>
    <row r="191" customFormat="false" ht="15" hidden="false" customHeight="false" outlineLevel="0" collapsed="false">
      <c r="A191" s="5" t="s">
        <v>584</v>
      </c>
      <c r="B191" s="5" t="n">
        <v>1</v>
      </c>
      <c r="C191" s="5" t="n">
        <v>1</v>
      </c>
      <c r="D191" s="5" t="n">
        <v>6</v>
      </c>
      <c r="E191" s="5" t="n">
        <v>100</v>
      </c>
      <c r="F191" s="5"/>
      <c r="G191" s="5" t="s">
        <v>48</v>
      </c>
      <c r="H191" s="5" t="s">
        <v>1328</v>
      </c>
      <c r="I191" s="5" t="s">
        <v>586</v>
      </c>
      <c r="J191" s="5" t="n">
        <v>90</v>
      </c>
      <c r="K191" s="5"/>
      <c r="L191" s="5"/>
    </row>
    <row r="192" customFormat="false" ht="15" hidden="false" customHeight="false" outlineLevel="0" collapsed="false">
      <c r="A192" s="5" t="s">
        <v>589</v>
      </c>
      <c r="B192" s="5" t="n">
        <v>1</v>
      </c>
      <c r="C192" s="5" t="n">
        <v>1</v>
      </c>
      <c r="D192" s="5" t="n">
        <v>6</v>
      </c>
      <c r="E192" s="5" t="n">
        <v>100</v>
      </c>
      <c r="F192" s="5"/>
      <c r="G192" s="5" t="s">
        <v>115</v>
      </c>
      <c r="H192" s="5" t="s">
        <v>1328</v>
      </c>
      <c r="I192" s="5" t="s">
        <v>586</v>
      </c>
      <c r="J192" s="5" t="n">
        <v>90</v>
      </c>
      <c r="K192" s="5"/>
      <c r="L192" s="5"/>
    </row>
    <row r="193" customFormat="false" ht="15" hidden="false" customHeight="false" outlineLevel="0" collapsed="false">
      <c r="A193" s="5" t="s">
        <v>592</v>
      </c>
      <c r="B193" s="5" t="n">
        <v>1</v>
      </c>
      <c r="C193" s="5" t="n">
        <v>1</v>
      </c>
      <c r="D193" s="5" t="n">
        <v>6</v>
      </c>
      <c r="E193" s="5" t="n">
        <v>100</v>
      </c>
      <c r="F193" s="5"/>
      <c r="G193" s="5" t="s">
        <v>119</v>
      </c>
      <c r="H193" s="5" t="s">
        <v>1328</v>
      </c>
      <c r="I193" s="5" t="s">
        <v>586</v>
      </c>
      <c r="J193" s="5" t="n">
        <v>90</v>
      </c>
      <c r="K193" s="5"/>
      <c r="L193" s="5"/>
    </row>
    <row r="194" customFormat="false" ht="15" hidden="false" customHeight="false" outlineLevel="0" collapsed="false">
      <c r="A194" s="5" t="s">
        <v>595</v>
      </c>
      <c r="B194" s="5" t="n">
        <v>1</v>
      </c>
      <c r="C194" s="5" t="n">
        <v>1</v>
      </c>
      <c r="D194" s="5" t="n">
        <v>6</v>
      </c>
      <c r="E194" s="5" t="n">
        <v>50</v>
      </c>
      <c r="F194" s="5"/>
      <c r="G194" s="5" t="s">
        <v>123</v>
      </c>
      <c r="H194" s="5" t="s">
        <v>1328</v>
      </c>
      <c r="I194" s="5" t="s">
        <v>586</v>
      </c>
      <c r="J194" s="5" t="n">
        <v>90</v>
      </c>
      <c r="K194" s="5"/>
      <c r="L194" s="5"/>
    </row>
    <row r="195" customFormat="false" ht="15" hidden="false" customHeight="false" outlineLevel="0" collapsed="false">
      <c r="A195" s="5" t="s">
        <v>598</v>
      </c>
      <c r="B195" s="5" t="n">
        <v>1</v>
      </c>
      <c r="C195" s="5" t="n">
        <v>1</v>
      </c>
      <c r="D195" s="5" t="n">
        <v>6</v>
      </c>
      <c r="E195" s="5" t="n">
        <v>100</v>
      </c>
      <c r="F195" s="5"/>
      <c r="G195" s="5" t="s">
        <v>52</v>
      </c>
      <c r="H195" s="5" t="s">
        <v>1328</v>
      </c>
      <c r="I195" s="5" t="s">
        <v>586</v>
      </c>
      <c r="J195" s="5" t="n">
        <v>90</v>
      </c>
      <c r="K195" s="5"/>
      <c r="L195" s="5"/>
    </row>
    <row r="196" customFormat="false" ht="15" hidden="false" customHeight="false" outlineLevel="0" collapsed="false">
      <c r="A196" s="5" t="s">
        <v>601</v>
      </c>
      <c r="B196" s="5" t="n">
        <v>1</v>
      </c>
      <c r="C196" s="5" t="n">
        <v>1</v>
      </c>
      <c r="D196" s="5" t="n">
        <v>8</v>
      </c>
      <c r="E196" s="5" t="n">
        <v>50</v>
      </c>
      <c r="F196" s="5"/>
      <c r="G196" s="5" t="s">
        <v>48</v>
      </c>
      <c r="H196" s="5" t="s">
        <v>1329</v>
      </c>
      <c r="I196" s="5" t="s">
        <v>586</v>
      </c>
      <c r="J196" s="5" t="n">
        <v>60</v>
      </c>
      <c r="K196" s="5"/>
      <c r="L196" s="5"/>
    </row>
    <row r="197" customFormat="false" ht="15" hidden="false" customHeight="false" outlineLevel="0" collapsed="false">
      <c r="A197" s="5" t="s">
        <v>604</v>
      </c>
      <c r="B197" s="5" t="n">
        <v>1</v>
      </c>
      <c r="C197" s="5" t="n">
        <v>1</v>
      </c>
      <c r="D197" s="5" t="n">
        <v>8</v>
      </c>
      <c r="E197" s="5" t="n">
        <v>50</v>
      </c>
      <c r="F197" s="5"/>
      <c r="G197" s="5" t="s">
        <v>115</v>
      </c>
      <c r="H197" s="5" t="s">
        <v>1329</v>
      </c>
      <c r="I197" s="5" t="s">
        <v>586</v>
      </c>
      <c r="J197" s="5" t="n">
        <v>60</v>
      </c>
      <c r="K197" s="5"/>
      <c r="L197" s="5"/>
    </row>
    <row r="198" customFormat="false" ht="15" hidden="false" customHeight="false" outlineLevel="0" collapsed="false">
      <c r="A198" s="5" t="s">
        <v>607</v>
      </c>
      <c r="B198" s="5" t="n">
        <v>1</v>
      </c>
      <c r="C198" s="5" t="n">
        <v>1</v>
      </c>
      <c r="D198" s="5" t="n">
        <v>8</v>
      </c>
      <c r="E198" s="5" t="n">
        <v>50</v>
      </c>
      <c r="F198" s="5"/>
      <c r="G198" s="5" t="s">
        <v>119</v>
      </c>
      <c r="H198" s="5" t="s">
        <v>1329</v>
      </c>
      <c r="I198" s="5" t="s">
        <v>586</v>
      </c>
      <c r="J198" s="5" t="n">
        <v>60</v>
      </c>
      <c r="K198" s="5"/>
      <c r="L198" s="5"/>
    </row>
    <row r="199" customFormat="false" ht="15" hidden="false" customHeight="false" outlineLevel="0" collapsed="false">
      <c r="A199" s="5" t="s">
        <v>610</v>
      </c>
      <c r="B199" s="5" t="n">
        <v>1</v>
      </c>
      <c r="C199" s="5" t="n">
        <v>1</v>
      </c>
      <c r="D199" s="5" t="n">
        <v>8</v>
      </c>
      <c r="E199" s="5" t="n">
        <v>50</v>
      </c>
      <c r="F199" s="5"/>
      <c r="G199" s="5" t="s">
        <v>123</v>
      </c>
      <c r="H199" s="5" t="s">
        <v>1329</v>
      </c>
      <c r="I199" s="5" t="s">
        <v>586</v>
      </c>
      <c r="J199" s="5" t="n">
        <v>60</v>
      </c>
      <c r="K199" s="5"/>
      <c r="L199" s="5"/>
    </row>
    <row r="200" customFormat="false" ht="15" hidden="false" customHeight="false" outlineLevel="0" collapsed="false">
      <c r="A200" s="5" t="s">
        <v>613</v>
      </c>
      <c r="B200" s="5" t="n">
        <v>1</v>
      </c>
      <c r="C200" s="5" t="n">
        <v>1</v>
      </c>
      <c r="D200" s="5" t="n">
        <v>4</v>
      </c>
      <c r="E200" s="5" t="n">
        <v>75</v>
      </c>
      <c r="F200" s="5"/>
      <c r="G200" s="5" t="s">
        <v>48</v>
      </c>
      <c r="H200" s="5" t="s">
        <v>1329</v>
      </c>
      <c r="I200" s="5" t="s">
        <v>586</v>
      </c>
      <c r="J200" s="5" t="n">
        <v>90</v>
      </c>
      <c r="K200" s="5"/>
      <c r="L200" s="5"/>
    </row>
    <row r="201" customFormat="false" ht="15" hidden="false" customHeight="false" outlineLevel="0" collapsed="false">
      <c r="A201" s="5" t="s">
        <v>616</v>
      </c>
      <c r="B201" s="5" t="n">
        <v>1</v>
      </c>
      <c r="C201" s="5" t="n">
        <v>1</v>
      </c>
      <c r="D201" s="5" t="n">
        <v>4</v>
      </c>
      <c r="E201" s="5" t="n">
        <v>75</v>
      </c>
      <c r="F201" s="5"/>
      <c r="G201" s="5" t="s">
        <v>115</v>
      </c>
      <c r="H201" s="5" t="s">
        <v>1329</v>
      </c>
      <c r="I201" s="5" t="s">
        <v>586</v>
      </c>
      <c r="J201" s="5" t="n">
        <v>90</v>
      </c>
      <c r="K201" s="5"/>
      <c r="L201" s="5"/>
    </row>
    <row r="202" customFormat="false" ht="15" hidden="false" customHeight="false" outlineLevel="0" collapsed="false">
      <c r="A202" s="5" t="s">
        <v>619</v>
      </c>
      <c r="B202" s="5" t="n">
        <v>1</v>
      </c>
      <c r="C202" s="5" t="n">
        <v>1</v>
      </c>
      <c r="D202" s="5" t="n">
        <v>4</v>
      </c>
      <c r="E202" s="5" t="n">
        <v>75</v>
      </c>
      <c r="F202" s="5"/>
      <c r="G202" s="5" t="s">
        <v>119</v>
      </c>
      <c r="H202" s="5" t="s">
        <v>1329</v>
      </c>
      <c r="I202" s="5" t="s">
        <v>586</v>
      </c>
      <c r="J202" s="5" t="n">
        <v>90</v>
      </c>
      <c r="K202" s="5"/>
      <c r="L202" s="5"/>
    </row>
    <row r="203" customFormat="false" ht="15" hidden="false" customHeight="false" outlineLevel="0" collapsed="false">
      <c r="A203" s="5" t="s">
        <v>622</v>
      </c>
      <c r="B203" s="5" t="n">
        <v>1</v>
      </c>
      <c r="C203" s="5" t="n">
        <v>1</v>
      </c>
      <c r="D203" s="5" t="n">
        <v>4</v>
      </c>
      <c r="E203" s="5" t="n">
        <v>75</v>
      </c>
      <c r="F203" s="5"/>
      <c r="G203" s="5" t="s">
        <v>123</v>
      </c>
      <c r="H203" s="5" t="s">
        <v>1329</v>
      </c>
      <c r="I203" s="5" t="s">
        <v>586</v>
      </c>
      <c r="J203" s="5" t="n">
        <v>90</v>
      </c>
      <c r="K203" s="5"/>
      <c r="L203" s="5"/>
    </row>
    <row r="204" customFormat="false" ht="15" hidden="false" customHeight="false" outlineLevel="0" collapsed="false">
      <c r="A204" s="5" t="s">
        <v>625</v>
      </c>
      <c r="B204" s="5" t="n">
        <v>1</v>
      </c>
      <c r="C204" s="5" t="n">
        <v>1</v>
      </c>
      <c r="D204" s="5" t="n">
        <v>4</v>
      </c>
      <c r="E204" s="5" t="n">
        <v>50</v>
      </c>
      <c r="F204" s="5"/>
      <c r="G204" s="5" t="s">
        <v>48</v>
      </c>
      <c r="H204" s="5" t="s">
        <v>1330</v>
      </c>
      <c r="I204" s="5" t="s">
        <v>423</v>
      </c>
      <c r="J204" s="5" t="n">
        <v>180</v>
      </c>
      <c r="K204" s="5"/>
      <c r="L204" s="5"/>
    </row>
    <row r="205" customFormat="false" ht="15" hidden="false" customHeight="false" outlineLevel="0" collapsed="false">
      <c r="A205" s="5" t="s">
        <v>628</v>
      </c>
      <c r="B205" s="5" t="n">
        <v>1</v>
      </c>
      <c r="C205" s="5" t="n">
        <v>1</v>
      </c>
      <c r="D205" s="5" t="n">
        <v>4</v>
      </c>
      <c r="E205" s="5" t="n">
        <v>50</v>
      </c>
      <c r="F205" s="5"/>
      <c r="G205" s="5" t="s">
        <v>115</v>
      </c>
      <c r="H205" s="5" t="s">
        <v>1330</v>
      </c>
      <c r="I205" s="5" t="s">
        <v>423</v>
      </c>
      <c r="J205" s="5" t="n">
        <v>180</v>
      </c>
      <c r="K205" s="5"/>
      <c r="L205" s="5"/>
    </row>
    <row r="206" customFormat="false" ht="15" hidden="false" customHeight="false" outlineLevel="0" collapsed="false">
      <c r="A206" s="5" t="s">
        <v>631</v>
      </c>
      <c r="B206" s="5" t="n">
        <v>1</v>
      </c>
      <c r="C206" s="5" t="n">
        <v>1</v>
      </c>
      <c r="D206" s="5" t="n">
        <v>4</v>
      </c>
      <c r="E206" s="5" t="n">
        <v>50</v>
      </c>
      <c r="F206" s="5"/>
      <c r="G206" s="5" t="s">
        <v>119</v>
      </c>
      <c r="H206" s="5" t="s">
        <v>1330</v>
      </c>
      <c r="I206" s="5" t="s">
        <v>423</v>
      </c>
      <c r="J206" s="5" t="n">
        <v>180</v>
      </c>
      <c r="K206" s="5"/>
      <c r="L206" s="5"/>
    </row>
    <row r="207" customFormat="false" ht="15" hidden="false" customHeight="false" outlineLevel="0" collapsed="false">
      <c r="A207" s="5" t="s">
        <v>634</v>
      </c>
      <c r="B207" s="5" t="n">
        <v>1</v>
      </c>
      <c r="C207" s="5" t="n">
        <v>1</v>
      </c>
      <c r="D207" s="5" t="n">
        <v>4</v>
      </c>
      <c r="E207" s="5" t="n">
        <v>50</v>
      </c>
      <c r="F207" s="5"/>
      <c r="G207" s="5" t="s">
        <v>123</v>
      </c>
      <c r="H207" s="5" t="s">
        <v>1330</v>
      </c>
      <c r="I207" s="5" t="s">
        <v>423</v>
      </c>
      <c r="J207" s="5" t="n">
        <v>180</v>
      </c>
      <c r="K207" s="5"/>
      <c r="L207" s="5"/>
    </row>
    <row r="208" customFormat="false" ht="15" hidden="false" customHeight="false" outlineLevel="0" collapsed="false">
      <c r="A208" s="5" t="s">
        <v>637</v>
      </c>
      <c r="B208" s="5" t="n">
        <v>1</v>
      </c>
      <c r="C208" s="5" t="n">
        <v>1</v>
      </c>
      <c r="D208" s="5" t="n">
        <v>3</v>
      </c>
      <c r="E208" s="5" t="n">
        <v>100</v>
      </c>
      <c r="F208" s="5"/>
      <c r="G208" s="5" t="s">
        <v>48</v>
      </c>
      <c r="H208" s="5" t="s">
        <v>1330</v>
      </c>
      <c r="I208" s="5" t="s">
        <v>423</v>
      </c>
      <c r="J208" s="5" t="n">
        <v>300</v>
      </c>
      <c r="K208" s="5"/>
      <c r="L208" s="5"/>
    </row>
    <row r="209" customFormat="false" ht="15" hidden="false" customHeight="false" outlineLevel="0" collapsed="false">
      <c r="A209" s="5" t="s">
        <v>640</v>
      </c>
      <c r="B209" s="5" t="n">
        <v>1</v>
      </c>
      <c r="C209" s="5" t="n">
        <v>1</v>
      </c>
      <c r="D209" s="5" t="n">
        <v>3</v>
      </c>
      <c r="E209" s="5" t="n">
        <v>100</v>
      </c>
      <c r="F209" s="5"/>
      <c r="G209" s="5" t="s">
        <v>115</v>
      </c>
      <c r="H209" s="5" t="s">
        <v>1330</v>
      </c>
      <c r="I209" s="5" t="s">
        <v>423</v>
      </c>
      <c r="J209" s="5" t="n">
        <v>300</v>
      </c>
      <c r="K209" s="5"/>
      <c r="L209" s="5"/>
    </row>
    <row r="210" customFormat="false" ht="15" hidden="false" customHeight="false" outlineLevel="0" collapsed="false">
      <c r="A210" s="5" t="s">
        <v>643</v>
      </c>
      <c r="B210" s="5" t="n">
        <v>1</v>
      </c>
      <c r="C210" s="5" t="n">
        <v>1</v>
      </c>
      <c r="D210" s="5" t="n">
        <v>3</v>
      </c>
      <c r="E210" s="5" t="n">
        <v>100</v>
      </c>
      <c r="F210" s="5"/>
      <c r="G210" s="5" t="s">
        <v>119</v>
      </c>
      <c r="H210" s="5" t="s">
        <v>1330</v>
      </c>
      <c r="I210" s="5" t="s">
        <v>423</v>
      </c>
      <c r="J210" s="5" t="n">
        <v>300</v>
      </c>
      <c r="K210" s="5"/>
      <c r="L210" s="5"/>
    </row>
    <row r="211" customFormat="false" ht="15" hidden="false" customHeight="false" outlineLevel="0" collapsed="false">
      <c r="A211" s="5" t="s">
        <v>646</v>
      </c>
      <c r="B211" s="5" t="n">
        <v>1</v>
      </c>
      <c r="C211" s="5" t="n">
        <v>1</v>
      </c>
      <c r="D211" s="5" t="n">
        <v>3</v>
      </c>
      <c r="E211" s="5" t="n">
        <v>50</v>
      </c>
      <c r="F211" s="5"/>
      <c r="G211" s="5" t="s">
        <v>123</v>
      </c>
      <c r="H211" s="5" t="s">
        <v>1330</v>
      </c>
      <c r="I211" s="5" t="s">
        <v>423</v>
      </c>
      <c r="J211" s="5" t="n">
        <v>300</v>
      </c>
      <c r="K211" s="5"/>
      <c r="L211" s="5"/>
    </row>
    <row r="212" customFormat="false" ht="15" hidden="false" customHeight="false" outlineLevel="0" collapsed="false">
      <c r="A212" s="5" t="s">
        <v>649</v>
      </c>
      <c r="B212" s="5" t="n">
        <v>1</v>
      </c>
      <c r="C212" s="5" t="n">
        <v>1</v>
      </c>
      <c r="D212" s="5" t="n">
        <v>3</v>
      </c>
      <c r="E212" s="5" t="n">
        <v>100</v>
      </c>
      <c r="F212" s="5"/>
      <c r="G212" s="5" t="s">
        <v>52</v>
      </c>
      <c r="H212" s="5" t="s">
        <v>1330</v>
      </c>
      <c r="I212" s="5" t="s">
        <v>423</v>
      </c>
      <c r="J212" s="5" t="n">
        <v>300</v>
      </c>
      <c r="K212" s="5"/>
      <c r="L212" s="5"/>
    </row>
    <row r="213" customFormat="false" ht="15" hidden="false" customHeight="false" outlineLevel="0" collapsed="false">
      <c r="A213" s="5" t="s">
        <v>652</v>
      </c>
      <c r="B213" s="5" t="n">
        <v>1</v>
      </c>
      <c r="C213" s="5" t="n">
        <v>1</v>
      </c>
      <c r="D213" s="5" t="n">
        <v>6</v>
      </c>
      <c r="E213" s="5" t="n">
        <v>25</v>
      </c>
      <c r="F213" s="5"/>
      <c r="G213" s="5" t="s">
        <v>48</v>
      </c>
      <c r="H213" s="5" t="s">
        <v>1331</v>
      </c>
      <c r="I213" s="5" t="s">
        <v>423</v>
      </c>
      <c r="J213" s="5" t="n">
        <v>120</v>
      </c>
      <c r="K213" s="5"/>
      <c r="L213" s="5"/>
    </row>
    <row r="214" customFormat="false" ht="15" hidden="false" customHeight="false" outlineLevel="0" collapsed="false">
      <c r="A214" s="5" t="s">
        <v>655</v>
      </c>
      <c r="B214" s="5" t="n">
        <v>1</v>
      </c>
      <c r="C214" s="5" t="n">
        <v>1</v>
      </c>
      <c r="D214" s="5" t="n">
        <v>6</v>
      </c>
      <c r="E214" s="5" t="n">
        <v>25</v>
      </c>
      <c r="F214" s="5"/>
      <c r="G214" s="5" t="s">
        <v>115</v>
      </c>
      <c r="H214" s="5" t="s">
        <v>1331</v>
      </c>
      <c r="I214" s="5" t="s">
        <v>423</v>
      </c>
      <c r="J214" s="5" t="n">
        <v>120</v>
      </c>
      <c r="K214" s="5"/>
      <c r="L214" s="5"/>
    </row>
    <row r="215" customFormat="false" ht="15" hidden="false" customHeight="false" outlineLevel="0" collapsed="false">
      <c r="A215" s="5" t="s">
        <v>658</v>
      </c>
      <c r="B215" s="5" t="n">
        <v>1</v>
      </c>
      <c r="C215" s="5" t="n">
        <v>1</v>
      </c>
      <c r="D215" s="5" t="n">
        <v>6</v>
      </c>
      <c r="E215" s="5" t="n">
        <v>25</v>
      </c>
      <c r="F215" s="5"/>
      <c r="G215" s="5" t="s">
        <v>119</v>
      </c>
      <c r="H215" s="5" t="s">
        <v>1331</v>
      </c>
      <c r="I215" s="5" t="s">
        <v>423</v>
      </c>
      <c r="J215" s="5" t="n">
        <v>120</v>
      </c>
      <c r="K215" s="5"/>
      <c r="L215" s="5"/>
    </row>
    <row r="216" customFormat="false" ht="15" hidden="false" customHeight="false" outlineLevel="0" collapsed="false">
      <c r="A216" s="5" t="s">
        <v>661</v>
      </c>
      <c r="B216" s="5" t="n">
        <v>1</v>
      </c>
      <c r="C216" s="5" t="n">
        <v>1</v>
      </c>
      <c r="D216" s="5" t="n">
        <v>6</v>
      </c>
      <c r="E216" s="5" t="n">
        <v>25</v>
      </c>
      <c r="F216" s="5"/>
      <c r="G216" s="5" t="s">
        <v>123</v>
      </c>
      <c r="H216" s="5" t="s">
        <v>1331</v>
      </c>
      <c r="I216" s="5" t="s">
        <v>423</v>
      </c>
      <c r="J216" s="5" t="n">
        <v>120</v>
      </c>
      <c r="K216" s="5"/>
      <c r="L216" s="5"/>
    </row>
    <row r="217" customFormat="false" ht="15" hidden="false" customHeight="false" outlineLevel="0" collapsed="false">
      <c r="A217" s="5" t="s">
        <v>664</v>
      </c>
      <c r="B217" s="5" t="n">
        <v>1</v>
      </c>
      <c r="C217" s="5" t="n">
        <v>1</v>
      </c>
      <c r="D217" s="5" t="n">
        <v>8</v>
      </c>
      <c r="E217" s="5" t="n">
        <v>25</v>
      </c>
      <c r="F217" s="5"/>
      <c r="G217" s="5" t="s">
        <v>48</v>
      </c>
      <c r="H217" s="5" t="s">
        <v>1330</v>
      </c>
      <c r="I217" s="5" t="s">
        <v>135</v>
      </c>
      <c r="J217" s="5" t="n">
        <v>60</v>
      </c>
      <c r="K217" s="5"/>
      <c r="L217" s="5"/>
    </row>
    <row r="218" customFormat="false" ht="15" hidden="false" customHeight="false" outlineLevel="0" collapsed="false">
      <c r="A218" s="5" t="s">
        <v>667</v>
      </c>
      <c r="B218" s="5" t="n">
        <v>1</v>
      </c>
      <c r="C218" s="5" t="n">
        <v>1</v>
      </c>
      <c r="D218" s="5" t="n">
        <v>8</v>
      </c>
      <c r="E218" s="5" t="n">
        <v>25</v>
      </c>
      <c r="F218" s="5"/>
      <c r="G218" s="5" t="s">
        <v>115</v>
      </c>
      <c r="H218" s="5" t="s">
        <v>1330</v>
      </c>
      <c r="I218" s="5" t="s">
        <v>135</v>
      </c>
      <c r="J218" s="5" t="n">
        <v>60</v>
      </c>
      <c r="K218" s="5"/>
      <c r="L218" s="5"/>
    </row>
    <row r="219" customFormat="false" ht="15" hidden="false" customHeight="false" outlineLevel="0" collapsed="false">
      <c r="A219" s="5" t="s">
        <v>670</v>
      </c>
      <c r="B219" s="5" t="n">
        <v>1</v>
      </c>
      <c r="C219" s="5" t="n">
        <v>1</v>
      </c>
      <c r="D219" s="5" t="n">
        <v>8</v>
      </c>
      <c r="E219" s="5" t="n">
        <v>25</v>
      </c>
      <c r="F219" s="5"/>
      <c r="G219" s="5" t="s">
        <v>119</v>
      </c>
      <c r="H219" s="5" t="s">
        <v>1330</v>
      </c>
      <c r="I219" s="5" t="s">
        <v>135</v>
      </c>
      <c r="J219" s="5" t="n">
        <v>60</v>
      </c>
      <c r="K219" s="5"/>
      <c r="L219" s="5"/>
    </row>
    <row r="220" customFormat="false" ht="15" hidden="false" customHeight="false" outlineLevel="0" collapsed="false">
      <c r="A220" s="5" t="s">
        <v>673</v>
      </c>
      <c r="B220" s="5" t="n">
        <v>1</v>
      </c>
      <c r="C220" s="5" t="n">
        <v>1</v>
      </c>
      <c r="D220" s="5" t="n">
        <v>8</v>
      </c>
      <c r="E220" s="5" t="n">
        <v>25</v>
      </c>
      <c r="F220" s="5"/>
      <c r="G220" s="5" t="s">
        <v>123</v>
      </c>
      <c r="H220" s="5" t="s">
        <v>1330</v>
      </c>
      <c r="I220" s="5" t="s">
        <v>135</v>
      </c>
      <c r="J220" s="5" t="n">
        <v>60</v>
      </c>
      <c r="K220" s="5"/>
      <c r="L220" s="5"/>
    </row>
    <row r="221" customFormat="false" ht="15" hidden="false" customHeight="false" outlineLevel="0" collapsed="false">
      <c r="A221" s="5" t="s">
        <v>676</v>
      </c>
      <c r="B221" s="5" t="n">
        <v>1</v>
      </c>
      <c r="C221" s="5" t="n">
        <v>1</v>
      </c>
      <c r="D221" s="5" t="n">
        <v>8</v>
      </c>
      <c r="E221" s="5" t="n">
        <v>25</v>
      </c>
      <c r="F221" s="5"/>
      <c r="G221" s="5" t="s">
        <v>133</v>
      </c>
      <c r="H221" s="5" t="s">
        <v>1332</v>
      </c>
      <c r="I221" s="5" t="s">
        <v>135</v>
      </c>
      <c r="J221" s="5" t="n">
        <v>60</v>
      </c>
      <c r="K221" s="5"/>
      <c r="L221" s="5"/>
    </row>
    <row r="222" customFormat="false" ht="15" hidden="false" customHeight="false" outlineLevel="0" collapsed="false">
      <c r="A222" s="5" t="s">
        <v>679</v>
      </c>
      <c r="B222" s="5" t="n">
        <v>1</v>
      </c>
      <c r="C222" s="5" t="n">
        <v>1</v>
      </c>
      <c r="D222" s="5" t="n">
        <v>6</v>
      </c>
      <c r="E222" s="5" t="n">
        <v>15</v>
      </c>
      <c r="F222" s="5"/>
      <c r="G222" s="5" t="s">
        <v>48</v>
      </c>
      <c r="H222" s="5" t="s">
        <v>1333</v>
      </c>
      <c r="I222" s="5" t="s">
        <v>135</v>
      </c>
      <c r="J222" s="5" t="n">
        <v>45</v>
      </c>
      <c r="K222" s="5"/>
      <c r="L222" s="5"/>
    </row>
    <row r="223" customFormat="false" ht="15" hidden="false" customHeight="false" outlineLevel="0" collapsed="false">
      <c r="A223" s="5" t="s">
        <v>682</v>
      </c>
      <c r="B223" s="5" t="n">
        <v>1</v>
      </c>
      <c r="C223" s="5" t="n">
        <v>1</v>
      </c>
      <c r="D223" s="5" t="n">
        <v>6</v>
      </c>
      <c r="E223" s="5" t="n">
        <v>15</v>
      </c>
      <c r="F223" s="5"/>
      <c r="G223" s="5" t="s">
        <v>115</v>
      </c>
      <c r="H223" s="5" t="s">
        <v>1333</v>
      </c>
      <c r="I223" s="5" t="s">
        <v>135</v>
      </c>
      <c r="J223" s="5" t="n">
        <v>45</v>
      </c>
      <c r="K223" s="5"/>
      <c r="L223" s="5"/>
    </row>
    <row r="224" customFormat="false" ht="15" hidden="false" customHeight="false" outlineLevel="0" collapsed="false">
      <c r="A224" s="5" t="s">
        <v>685</v>
      </c>
      <c r="B224" s="5" t="n">
        <v>1</v>
      </c>
      <c r="C224" s="5" t="n">
        <v>1</v>
      </c>
      <c r="D224" s="5" t="n">
        <v>6</v>
      </c>
      <c r="E224" s="5" t="n">
        <v>15</v>
      </c>
      <c r="F224" s="5"/>
      <c r="G224" s="5" t="s">
        <v>119</v>
      </c>
      <c r="H224" s="5" t="s">
        <v>1333</v>
      </c>
      <c r="I224" s="5" t="s">
        <v>135</v>
      </c>
      <c r="J224" s="5" t="n">
        <v>45</v>
      </c>
      <c r="K224" s="5"/>
      <c r="L224" s="5"/>
    </row>
    <row r="225" customFormat="false" ht="15" hidden="false" customHeight="false" outlineLevel="0" collapsed="false">
      <c r="A225" s="5" t="s">
        <v>688</v>
      </c>
      <c r="B225" s="5" t="n">
        <v>1</v>
      </c>
      <c r="C225" s="5" t="n">
        <v>1</v>
      </c>
      <c r="D225" s="5" t="n">
        <v>6</v>
      </c>
      <c r="E225" s="5" t="n">
        <v>15</v>
      </c>
      <c r="F225" s="5"/>
      <c r="G225" s="5" t="s">
        <v>123</v>
      </c>
      <c r="H225" s="5" t="s">
        <v>1333</v>
      </c>
      <c r="I225" s="5" t="s">
        <v>135</v>
      </c>
      <c r="J225" s="5" t="n">
        <v>45</v>
      </c>
      <c r="K225" s="5"/>
      <c r="L225" s="5"/>
    </row>
    <row r="226" customFormat="false" ht="15" hidden="false" customHeight="false" outlineLevel="0" collapsed="false">
      <c r="A226" s="5" t="s">
        <v>691</v>
      </c>
      <c r="B226" s="5" t="n">
        <v>1</v>
      </c>
      <c r="C226" s="5" t="n">
        <v>1</v>
      </c>
      <c r="D226" s="5" t="n">
        <v>10</v>
      </c>
      <c r="E226" s="5" t="n">
        <v>12.5</v>
      </c>
      <c r="F226" s="5"/>
      <c r="G226" s="5" t="s">
        <v>48</v>
      </c>
      <c r="H226" s="5" t="s">
        <v>1334</v>
      </c>
      <c r="I226" s="5" t="s">
        <v>135</v>
      </c>
      <c r="J226" s="5" t="n">
        <v>30</v>
      </c>
      <c r="K226" s="5"/>
      <c r="L226" s="5"/>
    </row>
    <row r="227" customFormat="false" ht="15" hidden="false" customHeight="false" outlineLevel="0" collapsed="false">
      <c r="A227" s="5" t="s">
        <v>694</v>
      </c>
      <c r="B227" s="5" t="n">
        <v>1</v>
      </c>
      <c r="C227" s="5" t="n">
        <v>1</v>
      </c>
      <c r="D227" s="5" t="n">
        <v>10</v>
      </c>
      <c r="E227" s="5" t="n">
        <v>12.5</v>
      </c>
      <c r="F227" s="5"/>
      <c r="G227" s="5" t="s">
        <v>115</v>
      </c>
      <c r="H227" s="5" t="s">
        <v>1334</v>
      </c>
      <c r="I227" s="5" t="s">
        <v>135</v>
      </c>
      <c r="J227" s="5" t="n">
        <v>30</v>
      </c>
      <c r="K227" s="5"/>
      <c r="L227" s="5"/>
    </row>
    <row r="228" customFormat="false" ht="15" hidden="false" customHeight="false" outlineLevel="0" collapsed="false">
      <c r="A228" s="5" t="s">
        <v>697</v>
      </c>
      <c r="B228" s="5" t="n">
        <v>1</v>
      </c>
      <c r="C228" s="5" t="n">
        <v>1</v>
      </c>
      <c r="D228" s="5" t="n">
        <v>10</v>
      </c>
      <c r="E228" s="5" t="n">
        <v>12.5</v>
      </c>
      <c r="F228" s="5"/>
      <c r="G228" s="5" t="s">
        <v>119</v>
      </c>
      <c r="H228" s="5" t="s">
        <v>1334</v>
      </c>
      <c r="I228" s="5" t="s">
        <v>135</v>
      </c>
      <c r="J228" s="5" t="n">
        <v>30</v>
      </c>
      <c r="K228" s="5"/>
      <c r="L228" s="5"/>
    </row>
    <row r="229" customFormat="false" ht="15" hidden="false" customHeight="false" outlineLevel="0" collapsed="false">
      <c r="A229" s="5" t="s">
        <v>700</v>
      </c>
      <c r="B229" s="5" t="n">
        <v>1</v>
      </c>
      <c r="C229" s="5" t="n">
        <v>1</v>
      </c>
      <c r="D229" s="5" t="n">
        <v>10</v>
      </c>
      <c r="E229" s="5" t="n">
        <v>12.5</v>
      </c>
      <c r="F229" s="5"/>
      <c r="G229" s="5" t="s">
        <v>123</v>
      </c>
      <c r="H229" s="5" t="s">
        <v>1334</v>
      </c>
      <c r="I229" s="5" t="s">
        <v>135</v>
      </c>
      <c r="J229" s="5" t="n">
        <v>30</v>
      </c>
      <c r="K229" s="5"/>
      <c r="L229" s="5"/>
    </row>
    <row r="230" customFormat="false" ht="15" hidden="false" customHeight="false" outlineLevel="0" collapsed="false">
      <c r="A230" s="5" t="s">
        <v>703</v>
      </c>
      <c r="B230" s="5" t="n">
        <v>1</v>
      </c>
      <c r="C230" s="5" t="n">
        <v>4</v>
      </c>
      <c r="D230" s="5" t="n">
        <v>3</v>
      </c>
      <c r="E230" s="5" t="n">
        <v>100</v>
      </c>
      <c r="F230" s="5"/>
      <c r="G230" s="5" t="s">
        <v>48</v>
      </c>
      <c r="H230" s="5" t="s">
        <v>1325</v>
      </c>
      <c r="I230" s="5" t="s">
        <v>108</v>
      </c>
      <c r="J230" s="5" t="n">
        <v>10</v>
      </c>
      <c r="K230" s="5"/>
      <c r="L230" s="5"/>
    </row>
    <row r="231" customFormat="false" ht="15" hidden="false" customHeight="false" outlineLevel="0" collapsed="false">
      <c r="A231" s="5" t="s">
        <v>707</v>
      </c>
      <c r="B231" s="5" t="n">
        <v>1</v>
      </c>
      <c r="C231" s="5" t="n">
        <v>2</v>
      </c>
      <c r="D231" s="5" t="n">
        <v>4</v>
      </c>
      <c r="E231" s="5" t="n">
        <v>50</v>
      </c>
      <c r="F231" s="5"/>
      <c r="G231" s="5" t="s">
        <v>133</v>
      </c>
      <c r="H231" s="5" t="s">
        <v>1335</v>
      </c>
      <c r="I231" s="5" t="s">
        <v>586</v>
      </c>
      <c r="J231" s="5" t="n">
        <v>45</v>
      </c>
      <c r="K231" s="5"/>
      <c r="L231" s="5"/>
    </row>
    <row r="232" customFormat="false" ht="15" hidden="false" customHeight="false" outlineLevel="0" collapsed="false">
      <c r="A232" s="5" t="s">
        <v>711</v>
      </c>
      <c r="B232" s="5" t="n">
        <v>1</v>
      </c>
      <c r="C232" s="5" t="n">
        <v>4</v>
      </c>
      <c r="D232" s="5" t="n">
        <v>4</v>
      </c>
      <c r="E232" s="5" t="n">
        <v>25</v>
      </c>
      <c r="F232" s="5"/>
      <c r="G232" s="5" t="s">
        <v>133</v>
      </c>
      <c r="H232" s="5" t="s">
        <v>1334</v>
      </c>
      <c r="I232" s="5" t="s">
        <v>135</v>
      </c>
      <c r="J232" s="5" t="n">
        <v>30</v>
      </c>
      <c r="K232" s="5"/>
      <c r="L232" s="5"/>
    </row>
    <row r="233" customFormat="false" ht="15" hidden="false" customHeight="false" outlineLevel="0" collapsed="false">
      <c r="A233" s="5" t="s">
        <v>715</v>
      </c>
      <c r="B233" s="5" t="n">
        <v>1</v>
      </c>
      <c r="C233" s="5" t="n">
        <v>1</v>
      </c>
      <c r="D233" s="5" t="n">
        <v>1</v>
      </c>
      <c r="E233" s="5" t="n">
        <v>1500</v>
      </c>
      <c r="F233" s="5"/>
      <c r="G233" s="5" t="s">
        <v>48</v>
      </c>
      <c r="H233" s="5" t="s">
        <v>1336</v>
      </c>
      <c r="I233" s="5" t="s">
        <v>343</v>
      </c>
      <c r="J233" s="5"/>
      <c r="K233" s="5"/>
      <c r="L233" s="5"/>
    </row>
    <row r="234" customFormat="false" ht="15" hidden="false" customHeight="false" outlineLevel="0" collapsed="false">
      <c r="A234" s="5" t="s">
        <v>718</v>
      </c>
      <c r="B234" s="5" t="n">
        <v>1</v>
      </c>
      <c r="C234" s="5" t="n">
        <v>1</v>
      </c>
      <c r="D234" s="5" t="n">
        <v>5</v>
      </c>
      <c r="E234" s="5" t="n">
        <v>300</v>
      </c>
      <c r="F234" s="5"/>
      <c r="G234" s="5" t="s">
        <v>52</v>
      </c>
      <c r="H234" s="5" t="s">
        <v>1337</v>
      </c>
      <c r="I234" s="5" t="s">
        <v>343</v>
      </c>
      <c r="J234" s="5" t="n">
        <v>30</v>
      </c>
      <c r="K234" s="5"/>
      <c r="L234" s="5"/>
    </row>
    <row r="235" customFormat="false" ht="15" hidden="false" customHeight="false" outlineLevel="0" collapsed="false">
      <c r="A235" s="5" t="s">
        <v>721</v>
      </c>
      <c r="B235" s="5" t="n">
        <v>1</v>
      </c>
      <c r="C235" s="5" t="n">
        <v>1</v>
      </c>
      <c r="D235" s="5" t="n">
        <v>8</v>
      </c>
      <c r="E235" s="5" t="n">
        <v>50</v>
      </c>
      <c r="F235" s="5"/>
      <c r="G235" s="5" t="s">
        <v>48</v>
      </c>
      <c r="H235" s="5" t="s">
        <v>1338</v>
      </c>
      <c r="I235" s="5" t="s">
        <v>149</v>
      </c>
      <c r="J235" s="5" t="n">
        <v>30</v>
      </c>
      <c r="K235" s="5"/>
      <c r="L235" s="5"/>
    </row>
    <row r="236" customFormat="false" ht="15" hidden="false" customHeight="false" outlineLevel="0" collapsed="false">
      <c r="A236" s="5" t="s">
        <v>725</v>
      </c>
      <c r="B236" s="5" t="n">
        <v>1</v>
      </c>
      <c r="C236" s="5" t="n">
        <v>1</v>
      </c>
      <c r="D236" s="5" t="n">
        <v>8</v>
      </c>
      <c r="E236" s="5" t="n">
        <v>50</v>
      </c>
      <c r="F236" s="5"/>
      <c r="G236" s="5" t="s">
        <v>115</v>
      </c>
      <c r="H236" s="5" t="s">
        <v>1338</v>
      </c>
      <c r="I236" s="5" t="s">
        <v>149</v>
      </c>
      <c r="J236" s="5" t="n">
        <v>30</v>
      </c>
      <c r="K236" s="5"/>
      <c r="L236" s="5"/>
    </row>
    <row r="237" customFormat="false" ht="15" hidden="false" customHeight="false" outlineLevel="0" collapsed="false">
      <c r="A237" s="5" t="s">
        <v>728</v>
      </c>
      <c r="B237" s="5" t="n">
        <v>1</v>
      </c>
      <c r="C237" s="5" t="n">
        <v>1</v>
      </c>
      <c r="D237" s="5" t="n">
        <v>8</v>
      </c>
      <c r="E237" s="5" t="n">
        <v>50</v>
      </c>
      <c r="F237" s="5"/>
      <c r="G237" s="5" t="s">
        <v>119</v>
      </c>
      <c r="H237" s="5" t="s">
        <v>1338</v>
      </c>
      <c r="I237" s="5" t="s">
        <v>149</v>
      </c>
      <c r="J237" s="5" t="n">
        <v>30</v>
      </c>
      <c r="K237" s="5"/>
      <c r="L237" s="5"/>
    </row>
    <row r="238" customFormat="false" ht="15" hidden="false" customHeight="false" outlineLevel="0" collapsed="false">
      <c r="A238" s="5" t="s">
        <v>731</v>
      </c>
      <c r="B238" s="5" t="n">
        <v>1</v>
      </c>
      <c r="C238" s="5" t="n">
        <v>1</v>
      </c>
      <c r="D238" s="5" t="n">
        <v>8</v>
      </c>
      <c r="E238" s="5" t="n">
        <v>50</v>
      </c>
      <c r="F238" s="5"/>
      <c r="G238" s="5" t="s">
        <v>123</v>
      </c>
      <c r="H238" s="5" t="s">
        <v>1338</v>
      </c>
      <c r="I238" s="5" t="s">
        <v>149</v>
      </c>
      <c r="J238" s="5" t="n">
        <v>30</v>
      </c>
      <c r="K238" s="5"/>
      <c r="L238" s="5"/>
    </row>
    <row r="239" customFormat="false" ht="15" hidden="false" customHeight="false" outlineLevel="0" collapsed="false">
      <c r="A239" s="5" t="s">
        <v>734</v>
      </c>
      <c r="B239" s="5" t="n">
        <v>1</v>
      </c>
      <c r="C239" s="5" t="n">
        <v>1</v>
      </c>
      <c r="D239" s="5" t="n">
        <v>4</v>
      </c>
      <c r="E239" s="5" t="n">
        <v>100</v>
      </c>
      <c r="F239" s="5"/>
      <c r="G239" s="5" t="s">
        <v>48</v>
      </c>
      <c r="H239" s="5" t="s">
        <v>1339</v>
      </c>
      <c r="I239" s="5" t="s">
        <v>149</v>
      </c>
      <c r="J239" s="5" t="n">
        <v>20</v>
      </c>
      <c r="K239" s="5"/>
      <c r="L239" s="5"/>
    </row>
    <row r="240" customFormat="false" ht="15" hidden="false" customHeight="false" outlineLevel="0" collapsed="false">
      <c r="A240" s="5" t="s">
        <v>737</v>
      </c>
      <c r="B240" s="5" t="n">
        <v>1</v>
      </c>
      <c r="C240" s="5" t="n">
        <v>1</v>
      </c>
      <c r="D240" s="5" t="n">
        <v>4</v>
      </c>
      <c r="E240" s="5" t="n">
        <v>100</v>
      </c>
      <c r="F240" s="5"/>
      <c r="G240" s="5" t="s">
        <v>115</v>
      </c>
      <c r="H240" s="5" t="s">
        <v>1339</v>
      </c>
      <c r="I240" s="5" t="s">
        <v>149</v>
      </c>
      <c r="J240" s="5" t="n">
        <v>20</v>
      </c>
      <c r="K240" s="5"/>
      <c r="L240" s="5"/>
    </row>
    <row r="241" customFormat="false" ht="15" hidden="false" customHeight="false" outlineLevel="0" collapsed="false">
      <c r="A241" s="5" t="s">
        <v>740</v>
      </c>
      <c r="B241" s="5" t="n">
        <v>1</v>
      </c>
      <c r="C241" s="5" t="n">
        <v>1</v>
      </c>
      <c r="D241" s="5" t="n">
        <v>4</v>
      </c>
      <c r="E241" s="5" t="n">
        <v>100</v>
      </c>
      <c r="F241" s="5"/>
      <c r="G241" s="5" t="s">
        <v>119</v>
      </c>
      <c r="H241" s="5" t="s">
        <v>1339</v>
      </c>
      <c r="I241" s="5" t="s">
        <v>149</v>
      </c>
      <c r="J241" s="5" t="n">
        <v>20</v>
      </c>
      <c r="K241" s="5"/>
      <c r="L241" s="5"/>
    </row>
    <row r="242" customFormat="false" ht="15" hidden="false" customHeight="false" outlineLevel="0" collapsed="false">
      <c r="A242" s="5" t="s">
        <v>743</v>
      </c>
      <c r="B242" s="5" t="n">
        <v>1</v>
      </c>
      <c r="C242" s="5" t="n">
        <v>1</v>
      </c>
      <c r="D242" s="5" t="n">
        <v>6</v>
      </c>
      <c r="E242" s="5" t="n">
        <v>50</v>
      </c>
      <c r="F242" s="5"/>
      <c r="G242" s="5" t="s">
        <v>48</v>
      </c>
      <c r="H242" s="5" t="s">
        <v>1340</v>
      </c>
      <c r="I242" s="5" t="s">
        <v>149</v>
      </c>
      <c r="J242" s="5" t="n">
        <v>60</v>
      </c>
      <c r="K242" s="5"/>
      <c r="L242" s="5"/>
    </row>
    <row r="243" customFormat="false" ht="15" hidden="false" customHeight="false" outlineLevel="0" collapsed="false">
      <c r="A243" s="5" t="s">
        <v>746</v>
      </c>
      <c r="B243" s="5" t="n">
        <v>1</v>
      </c>
      <c r="C243" s="5" t="n">
        <v>1</v>
      </c>
      <c r="D243" s="5" t="n">
        <v>6</v>
      </c>
      <c r="E243" s="5" t="n">
        <v>50</v>
      </c>
      <c r="F243" s="5"/>
      <c r="G243" s="5" t="s">
        <v>115</v>
      </c>
      <c r="H243" s="5" t="s">
        <v>1340</v>
      </c>
      <c r="I243" s="5" t="s">
        <v>149</v>
      </c>
      <c r="J243" s="5" t="n">
        <v>60</v>
      </c>
      <c r="K243" s="5"/>
      <c r="L243" s="5"/>
    </row>
    <row r="244" customFormat="false" ht="15" hidden="false" customHeight="false" outlineLevel="0" collapsed="false">
      <c r="A244" s="5" t="s">
        <v>749</v>
      </c>
      <c r="B244" s="5" t="n">
        <v>1</v>
      </c>
      <c r="C244" s="5" t="n">
        <v>1</v>
      </c>
      <c r="D244" s="5" t="n">
        <v>6</v>
      </c>
      <c r="E244" s="5" t="n">
        <v>50</v>
      </c>
      <c r="F244" s="5"/>
      <c r="G244" s="5" t="s">
        <v>119</v>
      </c>
      <c r="H244" s="5" t="s">
        <v>1340</v>
      </c>
      <c r="I244" s="5" t="s">
        <v>149</v>
      </c>
      <c r="J244" s="5" t="n">
        <v>60</v>
      </c>
      <c r="K244" s="5"/>
      <c r="L244" s="5"/>
    </row>
    <row r="245" customFormat="false" ht="15" hidden="false" customHeight="false" outlineLevel="0" collapsed="false">
      <c r="A245" s="5" t="s">
        <v>752</v>
      </c>
      <c r="B245" s="5" t="n">
        <v>1</v>
      </c>
      <c r="C245" s="5" t="n">
        <v>1</v>
      </c>
      <c r="D245" s="5" t="n">
        <v>6</v>
      </c>
      <c r="E245" s="5" t="n">
        <v>50</v>
      </c>
      <c r="F245" s="5"/>
      <c r="G245" s="5" t="s">
        <v>123</v>
      </c>
      <c r="H245" s="5" t="s">
        <v>1340</v>
      </c>
      <c r="I245" s="5" t="s">
        <v>149</v>
      </c>
      <c r="J245" s="5" t="n">
        <v>60</v>
      </c>
      <c r="K245" s="5"/>
      <c r="L245" s="5"/>
    </row>
    <row r="246" customFormat="false" ht="15" hidden="false" customHeight="false" outlineLevel="0" collapsed="false">
      <c r="A246" s="5" t="s">
        <v>755</v>
      </c>
      <c r="B246" s="5" t="n">
        <v>1</v>
      </c>
      <c r="C246" s="5" t="n">
        <v>1</v>
      </c>
      <c r="D246" s="5" t="n">
        <v>4</v>
      </c>
      <c r="E246" s="5" t="n">
        <v>50</v>
      </c>
      <c r="F246" s="5"/>
      <c r="G246" s="5" t="s">
        <v>48</v>
      </c>
      <c r="H246" s="5" t="s">
        <v>1341</v>
      </c>
      <c r="I246" s="5" t="s">
        <v>149</v>
      </c>
      <c r="J246" s="5" t="n">
        <v>10</v>
      </c>
      <c r="K246" s="5"/>
      <c r="L246" s="5"/>
    </row>
    <row r="247" customFormat="false" ht="15" hidden="false" customHeight="false" outlineLevel="0" collapsed="false">
      <c r="A247" s="5" t="s">
        <v>758</v>
      </c>
      <c r="B247" s="5" t="n">
        <v>1</v>
      </c>
      <c r="C247" s="5" t="n">
        <v>1</v>
      </c>
      <c r="D247" s="5" t="n">
        <v>4</v>
      </c>
      <c r="E247" s="5" t="n">
        <v>50</v>
      </c>
      <c r="F247" s="5"/>
      <c r="G247" s="5" t="s">
        <v>115</v>
      </c>
      <c r="H247" s="5" t="s">
        <v>1341</v>
      </c>
      <c r="I247" s="5" t="s">
        <v>149</v>
      </c>
      <c r="J247" s="5" t="n">
        <v>10</v>
      </c>
      <c r="K247" s="5"/>
      <c r="L247" s="5"/>
    </row>
    <row r="248" customFormat="false" ht="15" hidden="false" customHeight="false" outlineLevel="0" collapsed="false">
      <c r="A248" s="5" t="s">
        <v>761</v>
      </c>
      <c r="B248" s="5" t="n">
        <v>1</v>
      </c>
      <c r="C248" s="5" t="n">
        <v>1</v>
      </c>
      <c r="D248" s="5" t="n">
        <v>4</v>
      </c>
      <c r="E248" s="5" t="n">
        <v>50</v>
      </c>
      <c r="F248" s="5"/>
      <c r="G248" s="5" t="s">
        <v>119</v>
      </c>
      <c r="H248" s="5" t="s">
        <v>1341</v>
      </c>
      <c r="I248" s="5" t="s">
        <v>149</v>
      </c>
      <c r="J248" s="5" t="n">
        <v>10</v>
      </c>
      <c r="K248" s="5"/>
      <c r="L248" s="5"/>
    </row>
    <row r="249" customFormat="false" ht="15" hidden="false" customHeight="false" outlineLevel="0" collapsed="false">
      <c r="A249" s="5" t="s">
        <v>764</v>
      </c>
      <c r="B249" s="5" t="n">
        <v>1</v>
      </c>
      <c r="C249" s="5" t="n">
        <v>1</v>
      </c>
      <c r="D249" s="5" t="n">
        <v>4</v>
      </c>
      <c r="E249" s="5" t="n">
        <v>50</v>
      </c>
      <c r="F249" s="5"/>
      <c r="G249" s="5" t="s">
        <v>123</v>
      </c>
      <c r="H249" s="5" t="s">
        <v>1341</v>
      </c>
      <c r="I249" s="5" t="s">
        <v>149</v>
      </c>
      <c r="J249" s="5" t="n">
        <v>10</v>
      </c>
      <c r="K249" s="5"/>
      <c r="L249" s="5"/>
    </row>
    <row r="250" customFormat="false" ht="15" hidden="false" customHeight="false" outlineLevel="0" collapsed="false">
      <c r="A250" s="5" t="s">
        <v>767</v>
      </c>
      <c r="B250" s="5" t="n">
        <v>1</v>
      </c>
      <c r="C250" s="5" t="n">
        <v>1</v>
      </c>
      <c r="D250" s="5" t="n">
        <v>4</v>
      </c>
      <c r="E250" s="5" t="n">
        <v>100</v>
      </c>
      <c r="F250" s="5"/>
      <c r="G250" s="5" t="s">
        <v>52</v>
      </c>
      <c r="H250" s="5" t="s">
        <v>1325</v>
      </c>
      <c r="I250" s="5" t="s">
        <v>108</v>
      </c>
      <c r="J250" s="5" t="n">
        <v>20</v>
      </c>
      <c r="K250" s="5"/>
      <c r="L250" s="5"/>
    </row>
    <row r="251" customFormat="false" ht="15" hidden="false" customHeight="false" outlineLevel="0" collapsed="false">
      <c r="A251" s="5" t="s">
        <v>770</v>
      </c>
      <c r="B251" s="5" t="n">
        <v>1</v>
      </c>
      <c r="C251" s="5" t="n">
        <v>1</v>
      </c>
      <c r="D251" s="5" t="n">
        <v>4</v>
      </c>
      <c r="E251" s="5" t="n">
        <v>200</v>
      </c>
      <c r="F251" s="5"/>
      <c r="G251" s="5" t="s">
        <v>52</v>
      </c>
      <c r="H251" s="5" t="s">
        <v>1322</v>
      </c>
      <c r="I251" s="5" t="s">
        <v>343</v>
      </c>
      <c r="J251" s="5" t="n">
        <v>30</v>
      </c>
      <c r="K251" s="5"/>
      <c r="L251" s="5"/>
    </row>
    <row r="252" customFormat="false" ht="15" hidden="false" customHeight="false" outlineLevel="0" collapsed="false">
      <c r="A252" s="5" t="s">
        <v>773</v>
      </c>
      <c r="B252" s="5" t="n">
        <v>1</v>
      </c>
      <c r="C252" s="5" t="n">
        <v>1</v>
      </c>
      <c r="D252" s="5" t="n">
        <v>6</v>
      </c>
      <c r="E252" s="5" t="n">
        <v>100</v>
      </c>
      <c r="F252" s="5"/>
      <c r="G252" s="5" t="s">
        <v>52</v>
      </c>
      <c r="H252" s="5" t="s">
        <v>1327</v>
      </c>
      <c r="I252" s="5" t="s">
        <v>139</v>
      </c>
      <c r="J252" s="5" t="n">
        <v>40</v>
      </c>
      <c r="K252" s="5"/>
      <c r="L252" s="5"/>
    </row>
    <row r="253" customFormat="false" ht="15" hidden="false" customHeight="false" outlineLevel="0" collapsed="false">
      <c r="A253" s="5" t="s">
        <v>776</v>
      </c>
      <c r="B253" s="5" t="n">
        <v>1</v>
      </c>
      <c r="C253" s="5" t="n">
        <v>1</v>
      </c>
      <c r="D253" s="5" t="n">
        <v>4</v>
      </c>
      <c r="E253" s="5" t="n">
        <v>100</v>
      </c>
      <c r="F253" s="5"/>
      <c r="G253" s="5" t="s">
        <v>52</v>
      </c>
      <c r="H253" s="5" t="s">
        <v>1342</v>
      </c>
      <c r="I253" s="5" t="s">
        <v>586</v>
      </c>
      <c r="J253" s="5" t="n">
        <v>120</v>
      </c>
      <c r="K253" s="5"/>
      <c r="L253" s="5"/>
    </row>
    <row r="254" customFormat="false" ht="15" hidden="false" customHeight="false" outlineLevel="0" collapsed="false">
      <c r="A254" s="5" t="s">
        <v>779</v>
      </c>
      <c r="B254" s="5" t="n">
        <v>1</v>
      </c>
      <c r="C254" s="5" t="n">
        <v>3</v>
      </c>
      <c r="D254" s="5" t="n">
        <v>4</v>
      </c>
      <c r="E254" s="5" t="n">
        <v>50</v>
      </c>
      <c r="F254" s="5"/>
      <c r="G254" s="5" t="s">
        <v>52</v>
      </c>
      <c r="H254" s="5" t="s">
        <v>1343</v>
      </c>
      <c r="I254" s="5" t="s">
        <v>343</v>
      </c>
      <c r="J254" s="5" t="n">
        <v>15</v>
      </c>
      <c r="K254" s="5"/>
      <c r="L254" s="5"/>
    </row>
    <row r="255" customFormat="false" ht="15" hidden="false" customHeight="false" outlineLevel="0" collapsed="false">
      <c r="A255" s="5" t="s">
        <v>782</v>
      </c>
      <c r="B255" s="5" t="n">
        <v>1</v>
      </c>
      <c r="C255" s="5" t="n">
        <v>1</v>
      </c>
      <c r="D255" s="5" t="n">
        <v>6</v>
      </c>
      <c r="E255" s="5" t="n">
        <v>50</v>
      </c>
      <c r="F255" s="5"/>
      <c r="G255" s="5" t="s">
        <v>48</v>
      </c>
      <c r="H255" s="5" t="s">
        <v>1322</v>
      </c>
      <c r="I255" s="5" t="s">
        <v>343</v>
      </c>
      <c r="J255" s="5" t="n">
        <v>20</v>
      </c>
      <c r="K255" s="5"/>
      <c r="L255" s="5"/>
    </row>
    <row r="256" customFormat="false" ht="15" hidden="false" customHeight="false" outlineLevel="0" collapsed="false">
      <c r="A256" s="5" t="s">
        <v>785</v>
      </c>
      <c r="B256" s="5" t="n">
        <v>1</v>
      </c>
      <c r="C256" s="5" t="n">
        <v>1</v>
      </c>
      <c r="D256" s="5" t="n">
        <v>4</v>
      </c>
      <c r="E256" s="5" t="n">
        <v>100</v>
      </c>
      <c r="F256" s="5"/>
      <c r="G256" s="5" t="s">
        <v>48</v>
      </c>
      <c r="H256" s="5" t="s">
        <v>1322</v>
      </c>
      <c r="I256" s="5" t="s">
        <v>343</v>
      </c>
      <c r="J256" s="5" t="n">
        <v>30</v>
      </c>
      <c r="K256" s="5"/>
      <c r="L256" s="5"/>
    </row>
    <row r="257" customFormat="false" ht="15" hidden="false" customHeight="false" outlineLevel="0" collapsed="false">
      <c r="A257" s="5" t="s">
        <v>788</v>
      </c>
      <c r="B257" s="5" t="n">
        <v>1</v>
      </c>
      <c r="C257" s="5" t="n">
        <v>1</v>
      </c>
      <c r="D257" s="5" t="n">
        <v>8</v>
      </c>
      <c r="E257" s="5" t="n">
        <v>25</v>
      </c>
      <c r="F257" s="5"/>
      <c r="G257" s="5" t="s">
        <v>52</v>
      </c>
      <c r="H257" s="5" t="s">
        <v>1344</v>
      </c>
      <c r="I257" s="5" t="s">
        <v>343</v>
      </c>
      <c r="J257" s="5" t="n">
        <v>20</v>
      </c>
      <c r="K257" s="5"/>
      <c r="L257" s="5"/>
    </row>
    <row r="258" customFormat="false" ht="15" hidden="false" customHeight="false" outlineLevel="0" collapsed="false">
      <c r="A258" s="5" t="s">
        <v>791</v>
      </c>
      <c r="B258" s="5" t="n">
        <v>1</v>
      </c>
      <c r="C258" s="5" t="n">
        <v>1</v>
      </c>
      <c r="D258" s="5" t="n">
        <v>4</v>
      </c>
      <c r="E258" s="5" t="n">
        <v>50</v>
      </c>
      <c r="F258" s="5"/>
      <c r="G258" s="5" t="s">
        <v>115</v>
      </c>
      <c r="H258" s="5" t="s">
        <v>1322</v>
      </c>
      <c r="I258" s="5" t="s">
        <v>343</v>
      </c>
      <c r="J258" s="5" t="n">
        <v>20</v>
      </c>
      <c r="K258" s="5"/>
      <c r="L258" s="5"/>
    </row>
    <row r="259" customFormat="false" ht="15" hidden="false" customHeight="false" outlineLevel="0" collapsed="false">
      <c r="A259" s="5" t="s">
        <v>794</v>
      </c>
      <c r="B259" s="5" t="n">
        <v>1</v>
      </c>
      <c r="C259" s="5" t="n">
        <v>1</v>
      </c>
      <c r="D259" s="5" t="n">
        <v>4</v>
      </c>
      <c r="E259" s="5" t="n">
        <v>50</v>
      </c>
      <c r="F259" s="5"/>
      <c r="G259" s="5" t="s">
        <v>119</v>
      </c>
      <c r="H259" s="5" t="s">
        <v>1345</v>
      </c>
      <c r="I259" s="5" t="s">
        <v>343</v>
      </c>
      <c r="J259" s="5" t="n">
        <v>20</v>
      </c>
      <c r="K259" s="5"/>
      <c r="L259" s="5"/>
    </row>
    <row r="260" customFormat="false" ht="15" hidden="false" customHeight="false" outlineLevel="0" collapsed="false">
      <c r="A260" s="5" t="s">
        <v>797</v>
      </c>
      <c r="B260" s="5" t="n">
        <v>1</v>
      </c>
      <c r="C260" s="5" t="n">
        <v>1</v>
      </c>
      <c r="D260" s="5" t="n">
        <v>6</v>
      </c>
      <c r="E260" s="5" t="n">
        <v>50</v>
      </c>
      <c r="F260" s="5"/>
      <c r="G260" s="5" t="s">
        <v>133</v>
      </c>
      <c r="H260" s="5" t="s">
        <v>1326</v>
      </c>
      <c r="I260" s="5" t="s">
        <v>108</v>
      </c>
      <c r="J260" s="5" t="n">
        <v>30</v>
      </c>
      <c r="K260" s="5"/>
      <c r="L260" s="5"/>
    </row>
    <row r="261" customFormat="false" ht="15" hidden="false" customHeight="false" outlineLevel="0" collapsed="false">
      <c r="A261" s="5" t="s">
        <v>800</v>
      </c>
      <c r="B261" s="5" t="n">
        <v>1</v>
      </c>
      <c r="C261" s="5" t="n">
        <v>1</v>
      </c>
      <c r="D261" s="5" t="n">
        <v>2</v>
      </c>
      <c r="E261" s="5" t="n">
        <v>100</v>
      </c>
      <c r="F261" s="5"/>
      <c r="G261" s="5" t="s">
        <v>52</v>
      </c>
      <c r="H261" s="5" t="s">
        <v>1346</v>
      </c>
      <c r="I261" s="5" t="s">
        <v>343</v>
      </c>
      <c r="J261" s="5" t="n">
        <v>30</v>
      </c>
      <c r="K261" s="5"/>
      <c r="L261" s="5"/>
    </row>
    <row r="262" customFormat="false" ht="15" hidden="false" customHeight="false" outlineLevel="0" collapsed="false">
      <c r="A262" s="5" t="s">
        <v>803</v>
      </c>
      <c r="B262" s="5" t="n">
        <v>1</v>
      </c>
      <c r="C262" s="5" t="n">
        <v>1</v>
      </c>
      <c r="D262" s="5" t="n">
        <v>4</v>
      </c>
      <c r="E262" s="5" t="n">
        <v>25</v>
      </c>
      <c r="F262" s="5"/>
      <c r="G262" s="5" t="s">
        <v>133</v>
      </c>
      <c r="H262" s="5" t="s">
        <v>1347</v>
      </c>
      <c r="I262" s="5" t="s">
        <v>135</v>
      </c>
      <c r="J262" s="5" t="n">
        <v>60</v>
      </c>
      <c r="K262" s="5"/>
      <c r="L262" s="5"/>
    </row>
    <row r="263" customFormat="false" ht="15" hidden="false" customHeight="false" outlineLevel="0" collapsed="false">
      <c r="A263" s="5" t="s">
        <v>806</v>
      </c>
      <c r="B263" s="5" t="n">
        <v>1</v>
      </c>
      <c r="C263" s="5" t="n">
        <v>1</v>
      </c>
      <c r="D263" s="5" t="n">
        <v>10</v>
      </c>
      <c r="E263" s="5" t="n">
        <v>100</v>
      </c>
      <c r="F263" s="5"/>
      <c r="G263" s="5" t="s">
        <v>48</v>
      </c>
      <c r="H263" s="5" t="s">
        <v>1348</v>
      </c>
      <c r="I263" s="5" t="s">
        <v>343</v>
      </c>
      <c r="J263" s="5" t="n">
        <v>20</v>
      </c>
      <c r="K263" s="5"/>
      <c r="L263" s="5"/>
    </row>
    <row r="264" customFormat="false" ht="15" hidden="false" customHeight="false" outlineLevel="0" collapsed="false">
      <c r="A264" s="5" t="s">
        <v>809</v>
      </c>
      <c r="B264" s="5" t="n">
        <v>1</v>
      </c>
      <c r="C264" s="5" t="n">
        <v>1</v>
      </c>
      <c r="D264" s="5" t="n">
        <v>6</v>
      </c>
      <c r="E264" s="5" t="n">
        <v>200</v>
      </c>
      <c r="F264" s="5"/>
      <c r="G264" s="5" t="s">
        <v>133</v>
      </c>
      <c r="H264" s="5" t="s">
        <v>1325</v>
      </c>
      <c r="I264" s="5" t="s">
        <v>108</v>
      </c>
      <c r="J264" s="5" t="n">
        <v>30</v>
      </c>
      <c r="K264" s="5"/>
      <c r="L264" s="5"/>
    </row>
    <row r="265" customFormat="false" ht="15" hidden="false" customHeight="false" outlineLevel="0" collapsed="false">
      <c r="A265" s="5" t="s">
        <v>812</v>
      </c>
      <c r="B265" s="5" t="n">
        <v>1</v>
      </c>
      <c r="C265" s="5" t="n">
        <v>1</v>
      </c>
      <c r="D265" s="5" t="n">
        <v>8</v>
      </c>
      <c r="E265" s="5" t="n">
        <v>25</v>
      </c>
      <c r="F265" s="5"/>
      <c r="G265" s="5" t="s">
        <v>133</v>
      </c>
      <c r="H265" s="5" t="s">
        <v>1349</v>
      </c>
      <c r="I265" s="5" t="s">
        <v>135</v>
      </c>
      <c r="J265" s="5" t="n">
        <v>45</v>
      </c>
      <c r="K265" s="5"/>
      <c r="L265" s="5"/>
    </row>
    <row r="266" customFormat="false" ht="15" hidden="false" customHeight="false" outlineLevel="0" collapsed="false">
      <c r="A266" s="5" t="s">
        <v>815</v>
      </c>
      <c r="B266" s="5" t="n">
        <v>1</v>
      </c>
      <c r="C266" s="5" t="n">
        <v>1</v>
      </c>
      <c r="D266" s="5" t="n">
        <v>1</v>
      </c>
      <c r="E266" s="5" t="n">
        <v>200</v>
      </c>
      <c r="F266" s="5"/>
      <c r="G266" s="5" t="s">
        <v>133</v>
      </c>
      <c r="H266" s="5" t="s">
        <v>1222</v>
      </c>
      <c r="I266" s="5" t="s">
        <v>37</v>
      </c>
      <c r="J266" s="5"/>
      <c r="K266" s="5"/>
      <c r="L266" s="5"/>
    </row>
    <row r="267" customFormat="false" ht="15" hidden="false" customHeight="false" outlineLevel="0" collapsed="false">
      <c r="A267" s="5" t="s">
        <v>819</v>
      </c>
      <c r="B267" s="5" t="n">
        <v>1</v>
      </c>
      <c r="C267" s="5" t="n">
        <v>1</v>
      </c>
      <c r="D267" s="5" t="n">
        <v>1</v>
      </c>
      <c r="E267" s="5" t="n">
        <v>300</v>
      </c>
      <c r="F267" s="5"/>
      <c r="G267" s="5" t="s">
        <v>52</v>
      </c>
      <c r="H267" s="5" t="s">
        <v>1350</v>
      </c>
      <c r="I267" s="5" t="s">
        <v>37</v>
      </c>
      <c r="J267" s="5"/>
      <c r="K267" s="5"/>
      <c r="L267" s="5"/>
    </row>
    <row r="268" customFormat="false" ht="15" hidden="false" customHeight="false" outlineLevel="0" collapsed="false">
      <c r="A268" s="5" t="s">
        <v>822</v>
      </c>
      <c r="B268" s="5" t="n">
        <v>1</v>
      </c>
      <c r="C268" s="5" t="n">
        <v>1</v>
      </c>
      <c r="D268" s="5" t="n">
        <v>4</v>
      </c>
      <c r="E268" s="5" t="n">
        <v>50</v>
      </c>
      <c r="F268" s="5"/>
      <c r="G268" s="5" t="s">
        <v>115</v>
      </c>
      <c r="H268" s="5" t="s">
        <v>1222</v>
      </c>
      <c r="I268" s="5" t="s">
        <v>37</v>
      </c>
      <c r="J268" s="5" t="n">
        <v>15</v>
      </c>
      <c r="K268" s="5"/>
      <c r="L268" s="5"/>
    </row>
    <row r="269" customFormat="false" ht="15" hidden="false" customHeight="false" outlineLevel="0" collapsed="false">
      <c r="A269" s="5" t="s">
        <v>825</v>
      </c>
      <c r="B269" s="5" t="n">
        <v>1</v>
      </c>
      <c r="C269" s="5" t="n">
        <v>1</v>
      </c>
      <c r="D269" s="5" t="n">
        <v>1</v>
      </c>
      <c r="E269" s="5" t="n">
        <v>100</v>
      </c>
      <c r="F269" s="5"/>
      <c r="G269" s="5" t="s">
        <v>48</v>
      </c>
      <c r="H269" s="5"/>
      <c r="I269" s="5" t="s">
        <v>37</v>
      </c>
      <c r="J269" s="5"/>
      <c r="K269" s="5"/>
      <c r="L269" s="5"/>
    </row>
    <row r="270" customFormat="false" ht="15" hidden="false" customHeight="false" outlineLevel="0" collapsed="false">
      <c r="A270" s="5" t="s">
        <v>825</v>
      </c>
      <c r="B270" s="5" t="n">
        <v>2</v>
      </c>
      <c r="C270" s="5" t="n">
        <v>1</v>
      </c>
      <c r="D270" s="5" t="n">
        <v>1</v>
      </c>
      <c r="E270" s="5" t="n">
        <v>100</v>
      </c>
      <c r="F270" s="5"/>
      <c r="G270" s="5" t="s">
        <v>115</v>
      </c>
      <c r="H270" s="5"/>
      <c r="I270" s="5" t="s">
        <v>37</v>
      </c>
      <c r="J270" s="5"/>
      <c r="K270" s="5"/>
      <c r="L270" s="5"/>
    </row>
    <row r="271" customFormat="false" ht="15" hidden="false" customHeight="false" outlineLevel="0" collapsed="false">
      <c r="A271" s="5" t="s">
        <v>828</v>
      </c>
      <c r="B271" s="5" t="n">
        <v>1</v>
      </c>
      <c r="C271" s="5" t="n">
        <v>1</v>
      </c>
      <c r="D271" s="5" t="n">
        <v>1</v>
      </c>
      <c r="E271" s="5" t="n">
        <v>400</v>
      </c>
      <c r="F271" s="5"/>
      <c r="G271" s="5" t="s">
        <v>48</v>
      </c>
      <c r="H271" s="5" t="s">
        <v>1351</v>
      </c>
      <c r="I271" s="5" t="s">
        <v>37</v>
      </c>
      <c r="J271" s="5"/>
      <c r="K271" s="5" t="s">
        <v>264</v>
      </c>
      <c r="L271" s="5"/>
    </row>
    <row r="272" customFormat="false" ht="15" hidden="false" customHeight="false" outlineLevel="0" collapsed="false">
      <c r="A272" s="5" t="s">
        <v>831</v>
      </c>
      <c r="B272" s="5" t="n">
        <v>1</v>
      </c>
      <c r="C272" s="5" t="n">
        <v>1</v>
      </c>
      <c r="D272" s="5" t="n">
        <v>1</v>
      </c>
      <c r="E272" s="5" t="n">
        <v>200</v>
      </c>
      <c r="F272" s="5"/>
      <c r="G272" s="5" t="s">
        <v>133</v>
      </c>
      <c r="H272" s="5" t="s">
        <v>1352</v>
      </c>
      <c r="I272" s="5" t="s">
        <v>37</v>
      </c>
      <c r="J272" s="5"/>
      <c r="K272" s="5" t="s">
        <v>83</v>
      </c>
      <c r="L272" s="5"/>
    </row>
    <row r="273" customFormat="false" ht="15" hidden="false" customHeight="false" outlineLevel="0" collapsed="false">
      <c r="A273" s="5" t="s">
        <v>834</v>
      </c>
      <c r="B273" s="5" t="n">
        <v>1</v>
      </c>
      <c r="C273" s="5" t="n">
        <v>1</v>
      </c>
      <c r="D273" s="5" t="n">
        <v>1</v>
      </c>
      <c r="E273" s="5" t="n">
        <v>200</v>
      </c>
      <c r="F273" s="5"/>
      <c r="G273" s="5" t="s">
        <v>133</v>
      </c>
      <c r="H273" s="5" t="s">
        <v>1222</v>
      </c>
      <c r="I273" s="5" t="s">
        <v>37</v>
      </c>
      <c r="J273" s="5"/>
      <c r="K273" s="5"/>
      <c r="L273" s="5"/>
    </row>
    <row r="274" customFormat="false" ht="15" hidden="false" customHeight="false" outlineLevel="0" collapsed="false">
      <c r="A274" s="5" t="s">
        <v>834</v>
      </c>
      <c r="B274" s="5" t="n">
        <v>2</v>
      </c>
      <c r="C274" s="5" t="n">
        <v>1</v>
      </c>
      <c r="D274" s="5" t="n">
        <v>1</v>
      </c>
      <c r="E274" s="5"/>
      <c r="F274" s="5" t="n">
        <v>300</v>
      </c>
      <c r="G274" s="5"/>
      <c r="H274" s="5" t="s">
        <v>1353</v>
      </c>
      <c r="I274" s="5" t="s">
        <v>37</v>
      </c>
      <c r="J274" s="5"/>
      <c r="K274" s="5"/>
      <c r="L274" s="5"/>
    </row>
    <row r="275" customFormat="false" ht="15" hidden="false" customHeight="false" outlineLevel="0" collapsed="false">
      <c r="A275" s="5" t="s">
        <v>837</v>
      </c>
      <c r="B275" s="5" t="n">
        <v>1</v>
      </c>
      <c r="C275" s="5" t="n">
        <v>1</v>
      </c>
      <c r="D275" s="5" t="n">
        <v>1</v>
      </c>
      <c r="E275" s="5" t="n">
        <v>100</v>
      </c>
      <c r="F275" s="5"/>
      <c r="G275" s="5" t="s">
        <v>133</v>
      </c>
      <c r="H275" s="5" t="s">
        <v>1222</v>
      </c>
      <c r="I275" s="5" t="s">
        <v>37</v>
      </c>
      <c r="J275" s="5"/>
      <c r="K275" s="5"/>
      <c r="L275" s="5"/>
    </row>
    <row r="276" customFormat="false" ht="15" hidden="false" customHeight="false" outlineLevel="0" collapsed="false">
      <c r="A276" s="5" t="s">
        <v>837</v>
      </c>
      <c r="B276" s="5" t="n">
        <v>2</v>
      </c>
      <c r="C276" s="5" t="n">
        <v>1</v>
      </c>
      <c r="D276" s="5" t="n">
        <v>1</v>
      </c>
      <c r="E276" s="5"/>
      <c r="F276" s="5" t="n">
        <v>300</v>
      </c>
      <c r="G276" s="5"/>
      <c r="H276" s="5" t="s">
        <v>1354</v>
      </c>
      <c r="I276" s="5" t="s">
        <v>37</v>
      </c>
      <c r="J276" s="5"/>
      <c r="K276" s="5"/>
      <c r="L276" s="5"/>
    </row>
    <row r="277" customFormat="false" ht="15" hidden="false" customHeight="false" outlineLevel="0" collapsed="false">
      <c r="A277" s="5" t="s">
        <v>840</v>
      </c>
      <c r="B277" s="5" t="n">
        <v>1</v>
      </c>
      <c r="C277" s="5" t="n">
        <v>1</v>
      </c>
      <c r="D277" s="5" t="n">
        <v>1</v>
      </c>
      <c r="E277" s="5" t="n">
        <v>400</v>
      </c>
      <c r="F277" s="5"/>
      <c r="G277" s="5" t="s">
        <v>48</v>
      </c>
      <c r="H277" s="5" t="s">
        <v>1355</v>
      </c>
      <c r="I277" s="5" t="s">
        <v>842</v>
      </c>
      <c r="J277" s="5"/>
      <c r="K277" s="5"/>
      <c r="L277" s="5"/>
    </row>
    <row r="278" customFormat="false" ht="15" hidden="false" customHeight="false" outlineLevel="0" collapsed="false">
      <c r="A278" s="5" t="s">
        <v>845</v>
      </c>
      <c r="B278" s="5" t="n">
        <v>1</v>
      </c>
      <c r="C278" s="5" t="n">
        <v>1</v>
      </c>
      <c r="D278" s="5" t="n">
        <v>1</v>
      </c>
      <c r="E278" s="5" t="n">
        <v>400</v>
      </c>
      <c r="F278" s="5"/>
      <c r="G278" s="5" t="s">
        <v>48</v>
      </c>
      <c r="H278" s="5" t="s">
        <v>1330</v>
      </c>
      <c r="I278" s="5" t="s">
        <v>842</v>
      </c>
      <c r="J278" s="5" t="n">
        <v>600</v>
      </c>
      <c r="K278" s="5"/>
      <c r="L278" s="5"/>
    </row>
    <row r="279" customFormat="false" ht="15" hidden="false" customHeight="false" outlineLevel="0" collapsed="false">
      <c r="A279" s="5" t="s">
        <v>845</v>
      </c>
      <c r="B279" s="5" t="n">
        <v>2</v>
      </c>
      <c r="C279" s="5" t="n">
        <v>1</v>
      </c>
      <c r="D279" s="5" t="n">
        <v>1</v>
      </c>
      <c r="E279" s="5" t="n">
        <v>200</v>
      </c>
      <c r="F279" s="5"/>
      <c r="G279" s="5" t="s">
        <v>48</v>
      </c>
      <c r="H279" s="5" t="s">
        <v>1330</v>
      </c>
      <c r="I279" s="5" t="s">
        <v>842</v>
      </c>
      <c r="J279" s="5"/>
      <c r="K279" s="5"/>
      <c r="L279" s="5"/>
    </row>
    <row r="280" customFormat="false" ht="15" hidden="false" customHeight="false" outlineLevel="0" collapsed="false">
      <c r="A280" s="5" t="s">
        <v>849</v>
      </c>
      <c r="B280" s="5" t="n">
        <v>1</v>
      </c>
      <c r="C280" s="5" t="n">
        <v>1</v>
      </c>
      <c r="D280" s="5" t="n">
        <v>1</v>
      </c>
      <c r="E280" s="5"/>
      <c r="F280" s="5" t="n">
        <v>1800</v>
      </c>
      <c r="G280" s="5" t="s">
        <v>48</v>
      </c>
      <c r="H280" s="5" t="s">
        <v>1356</v>
      </c>
      <c r="I280" s="5" t="s">
        <v>842</v>
      </c>
      <c r="J280" s="5"/>
      <c r="K280" s="5"/>
      <c r="L280" s="5"/>
    </row>
    <row r="281" customFormat="false" ht="15" hidden="false" customHeight="false" outlineLevel="0" collapsed="false">
      <c r="A281" s="5" t="s">
        <v>852</v>
      </c>
      <c r="B281" s="5" t="n">
        <v>1</v>
      </c>
      <c r="C281" s="5" t="n">
        <v>1</v>
      </c>
      <c r="D281" s="5" t="n">
        <v>1</v>
      </c>
      <c r="E281" s="5" t="n">
        <v>100</v>
      </c>
      <c r="F281" s="5"/>
      <c r="G281" s="5" t="s">
        <v>48</v>
      </c>
      <c r="H281" s="5" t="s">
        <v>1331</v>
      </c>
      <c r="I281" s="5" t="s">
        <v>842</v>
      </c>
      <c r="J281" s="5"/>
      <c r="K281" s="5"/>
      <c r="L281" s="5"/>
    </row>
    <row r="282" customFormat="false" ht="15" hidden="false" customHeight="false" outlineLevel="0" collapsed="false">
      <c r="A282" s="5" t="s">
        <v>855</v>
      </c>
      <c r="B282" s="5" t="n">
        <v>1</v>
      </c>
      <c r="C282" s="5" t="n">
        <v>1</v>
      </c>
      <c r="D282" s="5" t="n">
        <v>1</v>
      </c>
      <c r="E282" s="5" t="n">
        <v>100</v>
      </c>
      <c r="F282" s="5"/>
      <c r="G282" s="5" t="s">
        <v>115</v>
      </c>
      <c r="H282" s="5" t="s">
        <v>1331</v>
      </c>
      <c r="I282" s="5" t="s">
        <v>842</v>
      </c>
      <c r="J282" s="5"/>
      <c r="K282" s="5"/>
      <c r="L282" s="5"/>
    </row>
    <row r="283" customFormat="false" ht="15" hidden="false" customHeight="false" outlineLevel="0" collapsed="false">
      <c r="A283" s="5" t="s">
        <v>858</v>
      </c>
      <c r="B283" s="5" t="n">
        <v>1</v>
      </c>
      <c r="C283" s="5" t="n">
        <v>1</v>
      </c>
      <c r="D283" s="5" t="n">
        <v>1</v>
      </c>
      <c r="E283" s="5" t="n">
        <v>100</v>
      </c>
      <c r="F283" s="5"/>
      <c r="G283" s="5" t="s">
        <v>119</v>
      </c>
      <c r="H283" s="5" t="s">
        <v>1331</v>
      </c>
      <c r="I283" s="5" t="s">
        <v>842</v>
      </c>
      <c r="J283" s="5"/>
      <c r="K283" s="5"/>
      <c r="L283" s="5"/>
    </row>
    <row r="284" customFormat="false" ht="15" hidden="false" customHeight="false" outlineLevel="0" collapsed="false">
      <c r="A284" s="5" t="s">
        <v>861</v>
      </c>
      <c r="B284" s="5" t="n">
        <v>1</v>
      </c>
      <c r="C284" s="5" t="n">
        <v>1</v>
      </c>
      <c r="D284" s="5" t="n">
        <v>1</v>
      </c>
      <c r="E284" s="5" t="n">
        <v>100</v>
      </c>
      <c r="F284" s="5"/>
      <c r="G284" s="5" t="s">
        <v>123</v>
      </c>
      <c r="H284" s="5" t="s">
        <v>1331</v>
      </c>
      <c r="I284" s="5" t="s">
        <v>842</v>
      </c>
      <c r="J284" s="5"/>
      <c r="K284" s="5"/>
      <c r="L284" s="5"/>
    </row>
    <row r="285" customFormat="false" ht="15" hidden="false" customHeight="false" outlineLevel="0" collapsed="false">
      <c r="A285" s="5" t="s">
        <v>864</v>
      </c>
      <c r="B285" s="5" t="n">
        <v>1</v>
      </c>
      <c r="C285" s="5" t="n">
        <v>1</v>
      </c>
      <c r="D285" s="5" t="n">
        <v>2</v>
      </c>
      <c r="E285" s="5" t="n">
        <v>50</v>
      </c>
      <c r="F285" s="5"/>
      <c r="G285" s="5" t="s">
        <v>133</v>
      </c>
      <c r="H285" s="5" t="s">
        <v>1357</v>
      </c>
      <c r="I285" s="5" t="s">
        <v>842</v>
      </c>
      <c r="J285" s="5" t="n">
        <v>300</v>
      </c>
      <c r="K285" s="5"/>
      <c r="L285" s="5"/>
    </row>
    <row r="286" customFormat="false" ht="15" hidden="false" customHeight="false" outlineLevel="0" collapsed="false">
      <c r="A286" s="5" t="s">
        <v>867</v>
      </c>
      <c r="B286" s="5" t="n">
        <v>1</v>
      </c>
      <c r="C286" s="5" t="n">
        <v>1</v>
      </c>
      <c r="D286" s="5" t="n">
        <v>7</v>
      </c>
      <c r="E286" s="5" t="n">
        <v>200</v>
      </c>
      <c r="F286" s="5"/>
      <c r="G286" s="5" t="s">
        <v>48</v>
      </c>
      <c r="H286" s="5" t="s">
        <v>1358</v>
      </c>
      <c r="I286" s="5" t="s">
        <v>842</v>
      </c>
      <c r="J286" s="5" t="n">
        <v>30</v>
      </c>
      <c r="K286" s="5"/>
      <c r="L286" s="5"/>
    </row>
    <row r="287" customFormat="false" ht="15" hidden="false" customHeight="false" outlineLevel="0" collapsed="false">
      <c r="A287" s="5" t="s">
        <v>870</v>
      </c>
      <c r="B287" s="5" t="n">
        <v>1</v>
      </c>
      <c r="C287" s="5" t="n">
        <v>1</v>
      </c>
      <c r="D287" s="5" t="n">
        <v>6</v>
      </c>
      <c r="E287" s="5" t="n">
        <v>50</v>
      </c>
      <c r="F287" s="5"/>
      <c r="G287" s="5" t="s">
        <v>133</v>
      </c>
      <c r="H287" s="5" t="s">
        <v>1359</v>
      </c>
      <c r="I287" s="5" t="s">
        <v>842</v>
      </c>
      <c r="J287" s="5" t="n">
        <v>60</v>
      </c>
      <c r="K287" s="5"/>
      <c r="L287" s="5"/>
    </row>
    <row r="288" customFormat="false" ht="15" hidden="false" customHeight="false" outlineLevel="0" collapsed="false">
      <c r="A288" s="5" t="s">
        <v>873</v>
      </c>
      <c r="B288" s="5" t="n">
        <v>1</v>
      </c>
      <c r="C288" s="5" t="n">
        <v>1</v>
      </c>
      <c r="D288" s="5" t="n">
        <v>1</v>
      </c>
      <c r="E288" s="5" t="n">
        <v>200</v>
      </c>
      <c r="F288" s="5"/>
      <c r="G288" s="5" t="s">
        <v>133</v>
      </c>
      <c r="H288" s="5" t="s">
        <v>1360</v>
      </c>
      <c r="I288" s="5" t="s">
        <v>842</v>
      </c>
      <c r="J288" s="5"/>
      <c r="K288" s="5"/>
      <c r="L288" s="5"/>
    </row>
    <row r="289" customFormat="false" ht="15" hidden="false" customHeight="false" outlineLevel="0" collapsed="false">
      <c r="A289" s="5" t="s">
        <v>876</v>
      </c>
      <c r="B289" s="5" t="n">
        <v>1</v>
      </c>
      <c r="C289" s="5" t="n">
        <v>1</v>
      </c>
      <c r="D289" s="5" t="n">
        <v>1</v>
      </c>
      <c r="E289" s="5" t="n">
        <v>2000</v>
      </c>
      <c r="F289" s="5"/>
      <c r="G289" s="5" t="s">
        <v>48</v>
      </c>
      <c r="H289" s="5" t="s">
        <v>1361</v>
      </c>
      <c r="I289" s="5" t="s">
        <v>842</v>
      </c>
      <c r="J289" s="5"/>
      <c r="K289" s="5"/>
      <c r="L289" s="5"/>
    </row>
    <row r="290" customFormat="false" ht="15" hidden="false" customHeight="false" outlineLevel="0" collapsed="false">
      <c r="A290" s="5" t="s">
        <v>879</v>
      </c>
      <c r="B290" s="5" t="n">
        <v>1</v>
      </c>
      <c r="C290" s="5" t="n">
        <v>1</v>
      </c>
      <c r="D290" s="5" t="n">
        <v>1</v>
      </c>
      <c r="E290" s="5" t="n">
        <v>400</v>
      </c>
      <c r="F290" s="5"/>
      <c r="G290" s="5" t="s">
        <v>52</v>
      </c>
      <c r="H290" s="5" t="s">
        <v>1222</v>
      </c>
      <c r="I290" s="5" t="s">
        <v>37</v>
      </c>
      <c r="J290" s="5"/>
      <c r="K290" s="5"/>
      <c r="L290" s="5"/>
    </row>
    <row r="291" customFormat="false" ht="15" hidden="false" customHeight="false" outlineLevel="0" collapsed="false">
      <c r="A291" s="5" t="s">
        <v>879</v>
      </c>
      <c r="B291" s="5" t="n">
        <v>2</v>
      </c>
      <c r="C291" s="5" t="n">
        <v>1</v>
      </c>
      <c r="D291" s="5" t="n">
        <v>1</v>
      </c>
      <c r="E291" s="5" t="n">
        <v>200</v>
      </c>
      <c r="F291" s="5"/>
      <c r="G291" s="5" t="s">
        <v>916</v>
      </c>
      <c r="H291" s="5"/>
      <c r="I291" s="5" t="s">
        <v>37</v>
      </c>
      <c r="J291" s="5"/>
      <c r="K291" s="5"/>
      <c r="L291" s="5"/>
    </row>
    <row r="292" customFormat="false" ht="15" hidden="false" customHeight="false" outlineLevel="0" collapsed="false">
      <c r="A292" s="5" t="s">
        <v>884</v>
      </c>
      <c r="B292" s="5" t="n">
        <v>1</v>
      </c>
      <c r="C292" s="5" t="n">
        <v>1</v>
      </c>
      <c r="D292" s="5" t="n">
        <v>1</v>
      </c>
      <c r="E292" s="5" t="n">
        <v>300</v>
      </c>
      <c r="F292" s="5"/>
      <c r="G292" s="5" t="s">
        <v>48</v>
      </c>
      <c r="H292" s="5"/>
      <c r="I292" s="5" t="s">
        <v>37</v>
      </c>
      <c r="J292" s="5" t="n">
        <v>30</v>
      </c>
      <c r="K292" s="5"/>
      <c r="L292" s="5"/>
    </row>
    <row r="293" customFormat="false" ht="15" hidden="false" customHeight="false" outlineLevel="0" collapsed="false">
      <c r="A293" s="5" t="s">
        <v>884</v>
      </c>
      <c r="B293" s="5" t="n">
        <v>2</v>
      </c>
      <c r="C293" s="5" t="n">
        <v>1</v>
      </c>
      <c r="D293" s="5" t="n">
        <v>4</v>
      </c>
      <c r="E293" s="5" t="n">
        <v>50</v>
      </c>
      <c r="F293" s="5"/>
      <c r="G293" s="5" t="s">
        <v>52</v>
      </c>
      <c r="H293" s="5" t="s">
        <v>1362</v>
      </c>
      <c r="I293" s="5" t="s">
        <v>37</v>
      </c>
      <c r="J293" s="5" t="n">
        <v>15</v>
      </c>
      <c r="K293" s="5"/>
      <c r="L293" s="5"/>
    </row>
    <row r="294" customFormat="false" ht="15" hidden="false" customHeight="false" outlineLevel="0" collapsed="false">
      <c r="A294" s="5" t="s">
        <v>888</v>
      </c>
      <c r="B294" s="5" t="n">
        <v>1</v>
      </c>
      <c r="C294" s="5" t="n">
        <v>1</v>
      </c>
      <c r="D294" s="5" t="n">
        <v>1</v>
      </c>
      <c r="E294" s="5"/>
      <c r="F294" s="5" t="n">
        <v>600</v>
      </c>
      <c r="G294" s="5"/>
      <c r="H294" s="5" t="s">
        <v>1363</v>
      </c>
      <c r="I294" s="5" t="s">
        <v>37</v>
      </c>
      <c r="J294" s="5"/>
      <c r="K294" s="5" t="s">
        <v>891</v>
      </c>
      <c r="L294" s="5"/>
    </row>
    <row r="295" customFormat="false" ht="15" hidden="false" customHeight="false" outlineLevel="0" collapsed="false">
      <c r="A295" s="5" t="s">
        <v>892</v>
      </c>
      <c r="B295" s="5" t="n">
        <v>1</v>
      </c>
      <c r="C295" s="5" t="n">
        <v>1</v>
      </c>
      <c r="D295" s="5" t="n">
        <v>1</v>
      </c>
      <c r="E295" s="5" t="n">
        <v>200</v>
      </c>
      <c r="F295" s="5"/>
      <c r="G295" s="5" t="s">
        <v>48</v>
      </c>
      <c r="H295" s="5"/>
      <c r="I295" s="5" t="s">
        <v>37</v>
      </c>
      <c r="J295" s="5"/>
      <c r="K295" s="5"/>
      <c r="L295" s="5"/>
    </row>
    <row r="296" customFormat="false" ht="15" hidden="false" customHeight="false" outlineLevel="0" collapsed="false">
      <c r="A296" s="5" t="s">
        <v>892</v>
      </c>
      <c r="B296" s="5" t="n">
        <v>2</v>
      </c>
      <c r="C296" s="5" t="n">
        <v>1</v>
      </c>
      <c r="D296" s="5" t="n">
        <v>1</v>
      </c>
      <c r="E296" s="5" t="n">
        <v>200</v>
      </c>
      <c r="F296" s="5"/>
      <c r="G296" s="5"/>
      <c r="H296" s="5" t="s">
        <v>1364</v>
      </c>
      <c r="I296" s="5" t="s">
        <v>37</v>
      </c>
      <c r="J296" s="5"/>
      <c r="K296" s="5"/>
      <c r="L296" s="5"/>
    </row>
    <row r="297" customFormat="false" ht="15" hidden="false" customHeight="false" outlineLevel="0" collapsed="false">
      <c r="A297" s="5" t="s">
        <v>892</v>
      </c>
      <c r="B297" s="5" t="n">
        <v>3</v>
      </c>
      <c r="C297" s="5" t="n">
        <v>1</v>
      </c>
      <c r="D297" s="5" t="n">
        <v>4</v>
      </c>
      <c r="E297" s="5" t="n">
        <v>25</v>
      </c>
      <c r="F297" s="5"/>
      <c r="G297" s="5" t="s">
        <v>916</v>
      </c>
      <c r="H297" s="5" t="s">
        <v>1334</v>
      </c>
      <c r="I297" s="5" t="s">
        <v>135</v>
      </c>
      <c r="J297" s="5" t="n">
        <v>30</v>
      </c>
      <c r="K297" s="5"/>
      <c r="L297" s="5"/>
    </row>
    <row r="298" customFormat="false" ht="15" hidden="false" customHeight="false" outlineLevel="0" collapsed="false">
      <c r="A298" s="5" t="s">
        <v>896</v>
      </c>
      <c r="B298" s="5" t="n">
        <v>1</v>
      </c>
      <c r="C298" s="5" t="n">
        <v>1</v>
      </c>
      <c r="D298" s="5" t="n">
        <v>1</v>
      </c>
      <c r="E298" s="5" t="n">
        <v>200</v>
      </c>
      <c r="F298" s="5"/>
      <c r="G298" s="5" t="s">
        <v>48</v>
      </c>
      <c r="H298" s="5"/>
      <c r="I298" s="5" t="s">
        <v>37</v>
      </c>
      <c r="J298" s="5" t="n">
        <v>30</v>
      </c>
      <c r="K298" s="5"/>
      <c r="L298" s="5"/>
    </row>
    <row r="299" customFormat="false" ht="15" hidden="false" customHeight="false" outlineLevel="0" collapsed="false">
      <c r="A299" s="5" t="s">
        <v>896</v>
      </c>
      <c r="B299" s="5" t="n">
        <v>2</v>
      </c>
      <c r="C299" s="5" t="n">
        <v>1</v>
      </c>
      <c r="D299" s="5" t="n">
        <v>1</v>
      </c>
      <c r="E299" s="5"/>
      <c r="F299" s="5" t="n">
        <v>300</v>
      </c>
      <c r="G299" s="5"/>
      <c r="H299" s="5" t="s">
        <v>1365</v>
      </c>
      <c r="I299" s="5" t="s">
        <v>37</v>
      </c>
      <c r="J299" s="5"/>
      <c r="K299" s="5" t="s">
        <v>891</v>
      </c>
      <c r="L299" s="5"/>
    </row>
    <row r="300" customFormat="false" ht="15" hidden="false" customHeight="false" outlineLevel="0" collapsed="false">
      <c r="A300" s="5" t="s">
        <v>900</v>
      </c>
      <c r="B300" s="5" t="n">
        <v>1</v>
      </c>
      <c r="C300" s="5" t="n">
        <v>1</v>
      </c>
      <c r="D300" s="5" t="n">
        <v>6</v>
      </c>
      <c r="E300" s="5" t="n">
        <v>50</v>
      </c>
      <c r="F300" s="5"/>
      <c r="G300" s="5" t="s">
        <v>52</v>
      </c>
      <c r="H300" s="5" t="s">
        <v>1366</v>
      </c>
      <c r="I300" s="5" t="s">
        <v>37</v>
      </c>
      <c r="J300" s="5" t="n">
        <v>15</v>
      </c>
      <c r="K300" s="5"/>
      <c r="L300" s="5"/>
    </row>
    <row r="301" customFormat="false" ht="15" hidden="false" customHeight="false" outlineLevel="0" collapsed="false">
      <c r="A301" s="5" t="s">
        <v>903</v>
      </c>
      <c r="B301" s="5" t="n">
        <v>1</v>
      </c>
      <c r="C301" s="5" t="n">
        <v>1</v>
      </c>
      <c r="D301" s="5" t="n">
        <v>1</v>
      </c>
      <c r="E301" s="5" t="n">
        <v>300</v>
      </c>
      <c r="F301" s="5"/>
      <c r="G301" s="5" t="s">
        <v>133</v>
      </c>
      <c r="H301" s="5" t="s">
        <v>1222</v>
      </c>
      <c r="I301" s="5" t="s">
        <v>37</v>
      </c>
      <c r="J301" s="5"/>
      <c r="K301" s="5"/>
      <c r="L301" s="5"/>
    </row>
    <row r="302" customFormat="false" ht="15" hidden="false" customHeight="false" outlineLevel="0" collapsed="false">
      <c r="A302" s="5" t="s">
        <v>903</v>
      </c>
      <c r="B302" s="5" t="n">
        <v>2</v>
      </c>
      <c r="C302" s="5" t="n">
        <v>1</v>
      </c>
      <c r="D302" s="5" t="n">
        <v>4</v>
      </c>
      <c r="E302" s="5" t="n">
        <v>15</v>
      </c>
      <c r="F302" s="5"/>
      <c r="G302" s="5" t="s">
        <v>916</v>
      </c>
      <c r="H302" s="5" t="s">
        <v>1334</v>
      </c>
      <c r="I302" s="5" t="s">
        <v>135</v>
      </c>
      <c r="J302" s="5" t="n">
        <v>30</v>
      </c>
      <c r="K302" s="5"/>
      <c r="L302" s="5"/>
    </row>
    <row r="303" customFormat="false" ht="15" hidden="false" customHeight="false" outlineLevel="0" collapsed="false">
      <c r="A303" s="5" t="s">
        <v>903</v>
      </c>
      <c r="B303" s="5" t="n">
        <v>3</v>
      </c>
      <c r="C303" s="5" t="n">
        <v>1</v>
      </c>
      <c r="D303" s="5" t="n">
        <v>1</v>
      </c>
      <c r="E303" s="5"/>
      <c r="F303" s="5" t="n">
        <v>300</v>
      </c>
      <c r="G303" s="5"/>
      <c r="H303" s="5" t="s">
        <v>1367</v>
      </c>
      <c r="I303" s="5" t="s">
        <v>153</v>
      </c>
      <c r="J303" s="5"/>
      <c r="K303" s="5" t="s">
        <v>891</v>
      </c>
      <c r="L303" s="5"/>
    </row>
    <row r="304" customFormat="false" ht="15" hidden="false" customHeight="false" outlineLevel="0" collapsed="false">
      <c r="A304" s="5" t="s">
        <v>903</v>
      </c>
      <c r="B304" s="5" t="n">
        <v>4</v>
      </c>
      <c r="C304" s="5" t="n">
        <v>1</v>
      </c>
      <c r="D304" s="5" t="n">
        <v>1</v>
      </c>
      <c r="E304" s="5"/>
      <c r="F304" s="5" t="n">
        <v>300</v>
      </c>
      <c r="G304" s="5"/>
      <c r="H304" s="5" t="s">
        <v>1368</v>
      </c>
      <c r="I304" s="5" t="s">
        <v>153</v>
      </c>
      <c r="J304" s="5"/>
      <c r="K304" s="5" t="s">
        <v>908</v>
      </c>
      <c r="L304" s="5"/>
    </row>
    <row r="305" customFormat="false" ht="15" hidden="false" customHeight="false" outlineLevel="0" collapsed="false">
      <c r="A305" s="5" t="s">
        <v>909</v>
      </c>
      <c r="B305" s="5" t="n">
        <v>1</v>
      </c>
      <c r="C305" s="5" t="n">
        <v>1</v>
      </c>
      <c r="D305" s="5" t="n">
        <v>1</v>
      </c>
      <c r="E305" s="5" t="n">
        <v>300</v>
      </c>
      <c r="F305" s="5"/>
      <c r="G305" s="5" t="s">
        <v>133</v>
      </c>
      <c r="H305" s="5" t="s">
        <v>1222</v>
      </c>
      <c r="I305" s="5" t="s">
        <v>37</v>
      </c>
      <c r="J305" s="5" t="n">
        <v>30</v>
      </c>
      <c r="K305" s="5"/>
      <c r="L305" s="5"/>
    </row>
    <row r="306" customFormat="false" ht="15" hidden="false" customHeight="false" outlineLevel="0" collapsed="false">
      <c r="A306" s="5" t="s">
        <v>909</v>
      </c>
      <c r="B306" s="5" t="n">
        <v>2</v>
      </c>
      <c r="C306" s="5" t="n">
        <v>1</v>
      </c>
      <c r="D306" s="5" t="n">
        <v>1</v>
      </c>
      <c r="E306" s="5"/>
      <c r="F306" s="5" t="n">
        <v>300</v>
      </c>
      <c r="G306" s="5"/>
      <c r="H306" s="5" t="s">
        <v>1369</v>
      </c>
      <c r="I306" s="5" t="s">
        <v>37</v>
      </c>
      <c r="J306" s="5"/>
      <c r="K306" s="5" t="s">
        <v>891</v>
      </c>
      <c r="L306" s="5"/>
    </row>
    <row r="307" customFormat="false" ht="15" hidden="false" customHeight="false" outlineLevel="0" collapsed="false">
      <c r="A307" s="5" t="s">
        <v>912</v>
      </c>
      <c r="B307" s="5" t="n">
        <v>1</v>
      </c>
      <c r="C307" s="5" t="n">
        <v>1</v>
      </c>
      <c r="D307" s="5" t="n">
        <v>10</v>
      </c>
      <c r="E307" s="5" t="n">
        <v>25</v>
      </c>
      <c r="F307" s="5"/>
      <c r="G307" s="5" t="s">
        <v>916</v>
      </c>
      <c r="H307" s="5" t="s">
        <v>1370</v>
      </c>
      <c r="I307" s="5" t="s">
        <v>139</v>
      </c>
      <c r="J307" s="5" t="n">
        <v>15</v>
      </c>
      <c r="K307" s="5"/>
      <c r="L307" s="5"/>
    </row>
    <row r="308" customFormat="false" ht="15" hidden="false" customHeight="false" outlineLevel="0" collapsed="false">
      <c r="A308" s="5" t="s">
        <v>917</v>
      </c>
      <c r="B308" s="5" t="n">
        <v>1</v>
      </c>
      <c r="C308" s="5" t="n">
        <v>1</v>
      </c>
      <c r="D308" s="5" t="n">
        <v>8</v>
      </c>
      <c r="E308" s="5" t="n">
        <v>15</v>
      </c>
      <c r="F308" s="5"/>
      <c r="G308" s="5" t="s">
        <v>916</v>
      </c>
      <c r="H308" s="5" t="s">
        <v>1371</v>
      </c>
      <c r="I308" s="5" t="s">
        <v>135</v>
      </c>
      <c r="J308" s="5" t="n">
        <v>30</v>
      </c>
      <c r="K308" s="5"/>
      <c r="L308" s="5"/>
    </row>
    <row r="309" customFormat="false" ht="15" hidden="false" customHeight="false" outlineLevel="0" collapsed="false">
      <c r="A309" s="5" t="s">
        <v>920</v>
      </c>
      <c r="B309" s="5" t="n">
        <v>1</v>
      </c>
      <c r="C309" s="5" t="n">
        <v>1</v>
      </c>
      <c r="D309" s="5" t="n">
        <v>6</v>
      </c>
      <c r="E309" s="5" t="n">
        <v>20</v>
      </c>
      <c r="F309" s="5"/>
      <c r="G309" s="5" t="s">
        <v>916</v>
      </c>
      <c r="H309" s="5" t="s">
        <v>1372</v>
      </c>
      <c r="I309" s="5" t="s">
        <v>135</v>
      </c>
      <c r="J309" s="5" t="n">
        <v>30</v>
      </c>
      <c r="K309" s="5"/>
      <c r="L309" s="5"/>
    </row>
    <row r="310" customFormat="false" ht="15" hidden="false" customHeight="false" outlineLevel="0" collapsed="false">
      <c r="A310" s="5" t="s">
        <v>923</v>
      </c>
      <c r="B310" s="5" t="n">
        <v>1</v>
      </c>
      <c r="C310" s="5" t="n">
        <v>1</v>
      </c>
      <c r="D310" s="5" t="n">
        <v>8</v>
      </c>
      <c r="E310" s="5" t="n">
        <v>25</v>
      </c>
      <c r="F310" s="5"/>
      <c r="G310" s="5" t="s">
        <v>52</v>
      </c>
      <c r="H310" s="5" t="s">
        <v>1373</v>
      </c>
      <c r="I310" s="5" t="s">
        <v>343</v>
      </c>
      <c r="J310" s="5" t="n">
        <v>15</v>
      </c>
      <c r="K310" s="5"/>
      <c r="L310" s="5"/>
    </row>
    <row r="311" customFormat="false" ht="15" hidden="false" customHeight="false" outlineLevel="0" collapsed="false">
      <c r="A311" s="5" t="s">
        <v>926</v>
      </c>
      <c r="B311" s="5" t="n">
        <v>1</v>
      </c>
      <c r="C311" s="5" t="n">
        <v>1</v>
      </c>
      <c r="D311" s="5" t="n">
        <v>10</v>
      </c>
      <c r="E311" s="5" t="n">
        <v>15</v>
      </c>
      <c r="F311" s="5"/>
      <c r="G311" s="5" t="s">
        <v>916</v>
      </c>
      <c r="H311" s="5" t="s">
        <v>1374</v>
      </c>
      <c r="I311" s="5" t="s">
        <v>135</v>
      </c>
      <c r="J311" s="5" t="n">
        <v>30</v>
      </c>
      <c r="K311" s="5" t="s">
        <v>891</v>
      </c>
      <c r="L311" s="5"/>
    </row>
    <row r="312" customFormat="false" ht="15" hidden="false" customHeight="false" outlineLevel="0" collapsed="false">
      <c r="A312" s="5" t="s">
        <v>929</v>
      </c>
      <c r="B312" s="5" t="n">
        <v>1</v>
      </c>
      <c r="C312" s="5" t="n">
        <v>1</v>
      </c>
      <c r="D312" s="5" t="n">
        <v>6</v>
      </c>
      <c r="E312" s="5" t="n">
        <v>50</v>
      </c>
      <c r="F312" s="5"/>
      <c r="G312" s="5" t="s">
        <v>916</v>
      </c>
      <c r="H312" s="5" t="s">
        <v>1375</v>
      </c>
      <c r="I312" s="5" t="s">
        <v>343</v>
      </c>
      <c r="J312" s="5" t="n">
        <v>20</v>
      </c>
      <c r="K312" s="5" t="s">
        <v>891</v>
      </c>
      <c r="L312" s="5"/>
    </row>
    <row r="313" customFormat="false" ht="15" hidden="false" customHeight="false" outlineLevel="0" collapsed="false">
      <c r="A313" s="5" t="s">
        <v>932</v>
      </c>
      <c r="B313" s="5" t="n">
        <v>1</v>
      </c>
      <c r="C313" s="5" t="n">
        <v>4</v>
      </c>
      <c r="D313" s="5" t="n">
        <v>4</v>
      </c>
      <c r="E313" s="5" t="n">
        <v>25</v>
      </c>
      <c r="F313" s="5"/>
      <c r="G313" s="5" t="s">
        <v>916</v>
      </c>
      <c r="H313" s="5" t="s">
        <v>1376</v>
      </c>
      <c r="I313" s="5" t="s">
        <v>135</v>
      </c>
      <c r="J313" s="5" t="n">
        <v>20</v>
      </c>
      <c r="K313" s="5"/>
      <c r="L313" s="5"/>
    </row>
    <row r="314" customFormat="false" ht="15" hidden="false" customHeight="false" outlineLevel="0" collapsed="false">
      <c r="A314" s="5" t="s">
        <v>936</v>
      </c>
      <c r="B314" s="5" t="n">
        <v>1</v>
      </c>
      <c r="C314" s="5" t="n">
        <v>1</v>
      </c>
      <c r="D314" s="5" t="n">
        <v>20</v>
      </c>
      <c r="E314" s="5" t="n">
        <v>15</v>
      </c>
      <c r="F314" s="5"/>
      <c r="G314" s="5" t="s">
        <v>916</v>
      </c>
      <c r="H314" s="5" t="s">
        <v>1377</v>
      </c>
      <c r="I314" s="5" t="s">
        <v>135</v>
      </c>
      <c r="J314" s="5" t="n">
        <v>30</v>
      </c>
      <c r="K314" s="5"/>
      <c r="L314" s="5"/>
    </row>
    <row r="315" customFormat="false" ht="15" hidden="false" customHeight="false" outlineLevel="0" collapsed="false">
      <c r="A315" s="5" t="s">
        <v>939</v>
      </c>
      <c r="B315" s="5" t="n">
        <v>1</v>
      </c>
      <c r="C315" s="5" t="n">
        <v>1</v>
      </c>
      <c r="D315" s="5" t="n">
        <v>8</v>
      </c>
      <c r="E315" s="5" t="n">
        <v>50</v>
      </c>
      <c r="F315" s="5"/>
      <c r="G315" s="5" t="s">
        <v>916</v>
      </c>
      <c r="H315" s="5" t="s">
        <v>1327</v>
      </c>
      <c r="I315" s="5" t="s">
        <v>139</v>
      </c>
      <c r="J315" s="5" t="n">
        <v>30</v>
      </c>
      <c r="K315" s="5"/>
      <c r="L315" s="5"/>
    </row>
    <row r="316" customFormat="false" ht="15" hidden="false" customHeight="false" outlineLevel="0" collapsed="false">
      <c r="A316" s="5" t="s">
        <v>942</v>
      </c>
      <c r="B316" s="5" t="n">
        <v>1</v>
      </c>
      <c r="C316" s="5" t="n">
        <v>1</v>
      </c>
      <c r="D316" s="5" t="n">
        <v>3</v>
      </c>
      <c r="E316" s="5" t="n">
        <v>200</v>
      </c>
      <c r="F316" s="5"/>
      <c r="G316" s="5" t="s">
        <v>916</v>
      </c>
      <c r="H316" s="5" t="s">
        <v>1322</v>
      </c>
      <c r="I316" s="5" t="s">
        <v>343</v>
      </c>
      <c r="J316" s="5" t="n">
        <v>30</v>
      </c>
      <c r="K316" s="5"/>
      <c r="L316" s="5"/>
    </row>
    <row r="317" customFormat="false" ht="15" hidden="false" customHeight="false" outlineLevel="0" collapsed="false">
      <c r="A317" s="5" t="s">
        <v>945</v>
      </c>
      <c r="B317" s="5" t="n">
        <v>1</v>
      </c>
      <c r="C317" s="5" t="n">
        <v>1</v>
      </c>
      <c r="D317" s="5" t="n">
        <v>1</v>
      </c>
      <c r="E317" s="5" t="n">
        <v>10</v>
      </c>
      <c r="F317" s="5"/>
      <c r="G317" s="5" t="s">
        <v>916</v>
      </c>
      <c r="H317" s="5"/>
      <c r="I317" s="5" t="s">
        <v>135</v>
      </c>
      <c r="J317" s="5" t="n">
        <v>20</v>
      </c>
      <c r="K317" s="5"/>
      <c r="L317" s="5"/>
    </row>
    <row r="318" customFormat="false" ht="15" hidden="false" customHeight="false" outlineLevel="0" collapsed="false">
      <c r="A318" s="5" t="s">
        <v>945</v>
      </c>
      <c r="B318" s="5" t="n">
        <v>2</v>
      </c>
      <c r="C318" s="5" t="n">
        <v>1</v>
      </c>
      <c r="D318" s="5" t="n">
        <v>1</v>
      </c>
      <c r="E318" s="5" t="n">
        <v>15</v>
      </c>
      <c r="F318" s="5"/>
      <c r="G318" s="5" t="s">
        <v>916</v>
      </c>
      <c r="H318" s="5"/>
      <c r="I318" s="5" t="s">
        <v>135</v>
      </c>
      <c r="J318" s="5" t="n">
        <v>25</v>
      </c>
      <c r="K318" s="5"/>
      <c r="L318" s="5"/>
    </row>
    <row r="319" customFormat="false" ht="15" hidden="false" customHeight="false" outlineLevel="0" collapsed="false">
      <c r="A319" s="5" t="s">
        <v>945</v>
      </c>
      <c r="B319" s="5" t="n">
        <v>3</v>
      </c>
      <c r="C319" s="5" t="n">
        <v>1</v>
      </c>
      <c r="D319" s="5" t="n">
        <v>1</v>
      </c>
      <c r="E319" s="5" t="n">
        <v>20</v>
      </c>
      <c r="F319" s="5"/>
      <c r="G319" s="5" t="s">
        <v>916</v>
      </c>
      <c r="H319" s="5"/>
      <c r="I319" s="5" t="s">
        <v>135</v>
      </c>
      <c r="J319" s="5" t="n">
        <v>30</v>
      </c>
      <c r="K319" s="5"/>
      <c r="L319" s="5"/>
    </row>
    <row r="320" customFormat="false" ht="15" hidden="false" customHeight="false" outlineLevel="0" collapsed="false">
      <c r="A320" s="5" t="s">
        <v>945</v>
      </c>
      <c r="B320" s="5" t="n">
        <v>4</v>
      </c>
      <c r="C320" s="5" t="n">
        <v>1</v>
      </c>
      <c r="D320" s="5" t="n">
        <v>1</v>
      </c>
      <c r="E320" s="5" t="n">
        <v>15</v>
      </c>
      <c r="F320" s="5"/>
      <c r="G320" s="5" t="s">
        <v>916</v>
      </c>
      <c r="H320" s="5"/>
      <c r="I320" s="5" t="s">
        <v>135</v>
      </c>
      <c r="J320" s="5" t="n">
        <v>25</v>
      </c>
      <c r="K320" s="5"/>
      <c r="L320" s="5"/>
    </row>
    <row r="321" customFormat="false" ht="15" hidden="false" customHeight="false" outlineLevel="0" collapsed="false">
      <c r="A321" s="5" t="s">
        <v>945</v>
      </c>
      <c r="B321" s="5" t="n">
        <v>5</v>
      </c>
      <c r="C321" s="5" t="n">
        <v>1</v>
      </c>
      <c r="D321" s="5" t="n">
        <v>1</v>
      </c>
      <c r="E321" s="5" t="n">
        <v>10</v>
      </c>
      <c r="F321" s="5"/>
      <c r="G321" s="5" t="s">
        <v>916</v>
      </c>
      <c r="H321" s="5"/>
      <c r="I321" s="5" t="s">
        <v>135</v>
      </c>
      <c r="J321" s="5"/>
      <c r="K321" s="5"/>
      <c r="L321" s="5"/>
    </row>
    <row r="322" customFormat="false" ht="15" hidden="false" customHeight="false" outlineLevel="0" collapsed="false">
      <c r="A322" s="5" t="s">
        <v>948</v>
      </c>
      <c r="B322" s="5" t="n">
        <v>1</v>
      </c>
      <c r="C322" s="5" t="n">
        <v>1</v>
      </c>
      <c r="D322" s="5" t="n">
        <v>6</v>
      </c>
      <c r="E322" s="5"/>
      <c r="F322" s="5" t="n">
        <v>60</v>
      </c>
      <c r="G322" s="5"/>
      <c r="H322" s="5" t="s">
        <v>1378</v>
      </c>
      <c r="I322" s="5" t="s">
        <v>139</v>
      </c>
      <c r="J322" s="5" t="n">
        <v>30</v>
      </c>
      <c r="K322" s="5"/>
      <c r="L322" s="5"/>
    </row>
    <row r="323" customFormat="false" ht="15" hidden="false" customHeight="false" outlineLevel="0" collapsed="false">
      <c r="A323" s="5" t="s">
        <v>951</v>
      </c>
      <c r="B323" s="5" t="n">
        <v>1</v>
      </c>
      <c r="C323" s="5" t="n">
        <v>1</v>
      </c>
      <c r="D323" s="5" t="n">
        <v>8</v>
      </c>
      <c r="E323" s="5"/>
      <c r="F323" s="5" t="n">
        <v>30</v>
      </c>
      <c r="G323" s="5"/>
      <c r="H323" s="5" t="s">
        <v>1379</v>
      </c>
      <c r="I323" s="5" t="s">
        <v>586</v>
      </c>
      <c r="J323" s="5" t="n">
        <v>30</v>
      </c>
      <c r="K323" s="5" t="s">
        <v>954</v>
      </c>
      <c r="L323" s="5"/>
    </row>
    <row r="324" customFormat="false" ht="15" hidden="false" customHeight="false" outlineLevel="0" collapsed="false">
      <c r="A324" s="5" t="s">
        <v>955</v>
      </c>
      <c r="B324" s="5" t="n">
        <v>1</v>
      </c>
      <c r="C324" s="5" t="n">
        <v>1</v>
      </c>
      <c r="D324" s="5" t="n">
        <v>1</v>
      </c>
      <c r="E324" s="5"/>
      <c r="F324" s="5" t="n">
        <v>300</v>
      </c>
      <c r="G324" s="5"/>
      <c r="H324" s="5" t="s">
        <v>1380</v>
      </c>
      <c r="I324" s="5" t="s">
        <v>343</v>
      </c>
      <c r="J324" s="5"/>
      <c r="K324" s="5"/>
      <c r="L324" s="5"/>
    </row>
    <row r="325" customFormat="false" ht="15" hidden="false" customHeight="false" outlineLevel="0" collapsed="false">
      <c r="A325" s="5" t="s">
        <v>958</v>
      </c>
      <c r="B325" s="5" t="n">
        <v>1</v>
      </c>
      <c r="C325" s="5" t="n">
        <v>1</v>
      </c>
      <c r="D325" s="5" t="n">
        <v>10</v>
      </c>
      <c r="E325" s="5"/>
      <c r="F325" s="5" t="n">
        <v>20</v>
      </c>
      <c r="G325" s="5"/>
      <c r="H325" s="5" t="s">
        <v>1381</v>
      </c>
      <c r="I325" s="5" t="s">
        <v>135</v>
      </c>
      <c r="J325" s="5" t="n">
        <v>40</v>
      </c>
      <c r="K325" s="5"/>
      <c r="L325" s="5"/>
    </row>
    <row r="326" customFormat="false" ht="15" hidden="false" customHeight="false" outlineLevel="0" collapsed="false">
      <c r="A326" s="5" t="s">
        <v>961</v>
      </c>
      <c r="B326" s="5" t="n">
        <v>1</v>
      </c>
      <c r="C326" s="5" t="n">
        <v>1</v>
      </c>
      <c r="D326" s="5" t="n">
        <v>4</v>
      </c>
      <c r="E326" s="5"/>
      <c r="F326" s="5" t="n">
        <v>120</v>
      </c>
      <c r="G326" s="5"/>
      <c r="H326" s="5" t="s">
        <v>1382</v>
      </c>
      <c r="I326" s="5" t="s">
        <v>343</v>
      </c>
      <c r="J326" s="5" t="n">
        <v>30</v>
      </c>
      <c r="K326" s="5"/>
      <c r="L326" s="5"/>
    </row>
    <row r="327" customFormat="false" ht="15" hidden="false" customHeight="false" outlineLevel="0" collapsed="false">
      <c r="A327" s="5" t="s">
        <v>964</v>
      </c>
      <c r="B327" s="5" t="n">
        <v>1</v>
      </c>
      <c r="C327" s="5" t="n">
        <v>1</v>
      </c>
      <c r="D327" s="5" t="n">
        <v>8</v>
      </c>
      <c r="E327" s="5" t="n">
        <v>25</v>
      </c>
      <c r="F327" s="5"/>
      <c r="G327" s="5"/>
      <c r="H327" s="5" t="s">
        <v>1383</v>
      </c>
      <c r="I327" s="5" t="s">
        <v>139</v>
      </c>
      <c r="J327" s="5" t="n">
        <v>30</v>
      </c>
      <c r="K327" s="5"/>
      <c r="L327" s="5"/>
    </row>
    <row r="328" customFormat="false" ht="15" hidden="false" customHeight="false" outlineLevel="0" collapsed="false">
      <c r="A328" s="5" t="s">
        <v>967</v>
      </c>
      <c r="B328" s="5" t="n">
        <v>1</v>
      </c>
      <c r="C328" s="5" t="n">
        <v>1</v>
      </c>
      <c r="D328" s="5" t="n">
        <v>6</v>
      </c>
      <c r="E328" s="5"/>
      <c r="F328" s="5" t="n">
        <v>30</v>
      </c>
      <c r="G328" s="5"/>
      <c r="H328" s="5" t="s">
        <v>1384</v>
      </c>
      <c r="I328" s="5" t="s">
        <v>586</v>
      </c>
      <c r="J328" s="5" t="n">
        <v>30</v>
      </c>
      <c r="K328" s="5"/>
      <c r="L328" s="5"/>
    </row>
    <row r="329" customFormat="false" ht="15" hidden="false" customHeight="false" outlineLevel="0" collapsed="false">
      <c r="A329" s="5" t="s">
        <v>970</v>
      </c>
      <c r="B329" s="5" t="n">
        <v>1</v>
      </c>
      <c r="C329" s="5" t="n">
        <v>1</v>
      </c>
      <c r="D329" s="5" t="n">
        <v>10</v>
      </c>
      <c r="E329" s="5"/>
      <c r="F329" s="5" t="n">
        <v>15</v>
      </c>
      <c r="G329" s="5"/>
      <c r="H329" s="5" t="s">
        <v>1385</v>
      </c>
      <c r="I329" s="5" t="s">
        <v>135</v>
      </c>
      <c r="J329" s="5" t="n">
        <v>30</v>
      </c>
      <c r="K329" s="5"/>
      <c r="L329" s="5"/>
    </row>
    <row r="330" customFormat="false" ht="15" hidden="false" customHeight="false" outlineLevel="0" collapsed="false">
      <c r="A330" s="5" t="s">
        <v>973</v>
      </c>
      <c r="B330" s="5" t="n">
        <v>1</v>
      </c>
      <c r="C330" s="5" t="n">
        <v>1</v>
      </c>
      <c r="D330" s="5" t="n">
        <v>5</v>
      </c>
      <c r="E330" s="5"/>
      <c r="F330" s="5" t="n">
        <v>30</v>
      </c>
      <c r="G330" s="5"/>
      <c r="H330" s="5" t="s">
        <v>1386</v>
      </c>
      <c r="I330" s="5" t="s">
        <v>343</v>
      </c>
      <c r="J330" s="5" t="n">
        <v>30</v>
      </c>
      <c r="K330" s="5"/>
      <c r="L330" s="5"/>
    </row>
    <row r="331" customFormat="false" ht="15" hidden="false" customHeight="false" outlineLevel="0" collapsed="false">
      <c r="A331" s="5" t="s">
        <v>976</v>
      </c>
      <c r="B331" s="5" t="n">
        <v>1</v>
      </c>
      <c r="C331" s="5" t="n">
        <v>1</v>
      </c>
      <c r="D331" s="5" t="n">
        <v>6</v>
      </c>
      <c r="E331" s="5"/>
      <c r="F331" s="5" t="n">
        <v>45</v>
      </c>
      <c r="G331" s="5"/>
      <c r="H331" s="5" t="s">
        <v>1387</v>
      </c>
      <c r="I331" s="5" t="s">
        <v>108</v>
      </c>
      <c r="J331" s="5" t="n">
        <v>30</v>
      </c>
      <c r="K331" s="5" t="s">
        <v>891</v>
      </c>
      <c r="L331" s="5"/>
    </row>
    <row r="332" customFormat="false" ht="15" hidden="false" customHeight="false" outlineLevel="0" collapsed="false">
      <c r="A332" s="5" t="s">
        <v>979</v>
      </c>
      <c r="B332" s="5" t="n">
        <v>1</v>
      </c>
      <c r="C332" s="5" t="n">
        <v>1</v>
      </c>
      <c r="D332" s="5" t="n">
        <v>1</v>
      </c>
      <c r="E332" s="5"/>
      <c r="F332" s="5" t="n">
        <v>600</v>
      </c>
      <c r="G332" s="5"/>
      <c r="H332" s="5" t="s">
        <v>1388</v>
      </c>
      <c r="I332" s="5" t="s">
        <v>153</v>
      </c>
      <c r="J332" s="5"/>
      <c r="K332" s="5" t="s">
        <v>891</v>
      </c>
      <c r="L332" s="5"/>
    </row>
    <row r="333" customFormat="false" ht="15" hidden="false" customHeight="false" outlineLevel="0" collapsed="false">
      <c r="A333" s="5" t="s">
        <v>983</v>
      </c>
      <c r="B333" s="5" t="n">
        <v>1</v>
      </c>
      <c r="C333" s="5" t="n">
        <v>1</v>
      </c>
      <c r="D333" s="5" t="n">
        <v>1</v>
      </c>
      <c r="E333" s="5"/>
      <c r="F333" s="5" t="n">
        <v>600</v>
      </c>
      <c r="G333" s="5"/>
      <c r="H333" s="5" t="s">
        <v>1389</v>
      </c>
      <c r="I333" s="5" t="s">
        <v>153</v>
      </c>
      <c r="J333" s="5"/>
      <c r="K333" s="5" t="s">
        <v>891</v>
      </c>
      <c r="L333" s="5"/>
    </row>
    <row r="334" customFormat="false" ht="15" hidden="false" customHeight="false" outlineLevel="0" collapsed="false">
      <c r="A334" s="5" t="s">
        <v>986</v>
      </c>
      <c r="B334" s="5" t="n">
        <v>1</v>
      </c>
      <c r="C334" s="5" t="n">
        <v>1</v>
      </c>
      <c r="D334" s="5" t="n">
        <v>1</v>
      </c>
      <c r="E334" s="5"/>
      <c r="F334" s="5" t="n">
        <v>480</v>
      </c>
      <c r="G334" s="5"/>
      <c r="H334" s="5" t="s">
        <v>1390</v>
      </c>
      <c r="I334" s="5" t="s">
        <v>153</v>
      </c>
      <c r="J334" s="5"/>
      <c r="K334" s="5" t="s">
        <v>891</v>
      </c>
      <c r="L334" s="5"/>
    </row>
    <row r="335" customFormat="false" ht="15" hidden="false" customHeight="false" outlineLevel="0" collapsed="false">
      <c r="A335" s="5" t="s">
        <v>990</v>
      </c>
      <c r="B335" s="5" t="n">
        <v>1</v>
      </c>
      <c r="C335" s="5" t="n">
        <v>1</v>
      </c>
      <c r="D335" s="5" t="n">
        <v>1</v>
      </c>
      <c r="E335" s="5"/>
      <c r="F335" s="5" t="n">
        <v>600</v>
      </c>
      <c r="G335" s="5"/>
      <c r="H335" s="5" t="s">
        <v>1391</v>
      </c>
      <c r="I335" s="5" t="s">
        <v>153</v>
      </c>
      <c r="J335" s="5"/>
      <c r="K335" s="5" t="s">
        <v>891</v>
      </c>
      <c r="L335" s="5"/>
    </row>
    <row r="336" customFormat="false" ht="15" hidden="false" customHeight="false" outlineLevel="0" collapsed="false">
      <c r="A336" s="5" t="s">
        <v>993</v>
      </c>
      <c r="B336" s="5" t="n">
        <v>1</v>
      </c>
      <c r="C336" s="5" t="n">
        <v>1</v>
      </c>
      <c r="D336" s="5" t="n">
        <v>1</v>
      </c>
      <c r="E336" s="5"/>
      <c r="F336" s="5" t="n">
        <v>600</v>
      </c>
      <c r="G336" s="5"/>
      <c r="H336" s="5" t="s">
        <v>1392</v>
      </c>
      <c r="I336" s="5" t="s">
        <v>995</v>
      </c>
      <c r="J336" s="5"/>
      <c r="K336" s="5" t="s">
        <v>891</v>
      </c>
      <c r="L336" s="5"/>
    </row>
    <row r="337" customFormat="false" ht="15" hidden="false" customHeight="false" outlineLevel="0" collapsed="false">
      <c r="A337" s="5" t="s">
        <v>998</v>
      </c>
      <c r="B337" s="5" t="n">
        <v>1</v>
      </c>
      <c r="C337" s="5" t="n">
        <v>1</v>
      </c>
      <c r="D337" s="5" t="n">
        <v>1</v>
      </c>
      <c r="E337" s="5"/>
      <c r="F337" s="5" t="n">
        <v>480</v>
      </c>
      <c r="G337" s="5"/>
      <c r="H337" s="5" t="s">
        <v>1393</v>
      </c>
      <c r="I337" s="5" t="s">
        <v>153</v>
      </c>
      <c r="J337" s="5"/>
      <c r="K337" s="5" t="s">
        <v>891</v>
      </c>
      <c r="L337" s="5"/>
    </row>
    <row r="338" customFormat="false" ht="15" hidden="false" customHeight="false" outlineLevel="0" collapsed="false">
      <c r="A338" s="5" t="s">
        <v>1001</v>
      </c>
      <c r="B338" s="5" t="n">
        <v>1</v>
      </c>
      <c r="C338" s="5" t="n">
        <v>1</v>
      </c>
      <c r="D338" s="5" t="n">
        <v>1</v>
      </c>
      <c r="E338" s="5"/>
      <c r="F338" s="5" t="n">
        <v>600</v>
      </c>
      <c r="G338" s="5"/>
      <c r="H338" s="5" t="s">
        <v>1394</v>
      </c>
      <c r="I338" s="5" t="s">
        <v>995</v>
      </c>
      <c r="J338" s="5"/>
      <c r="K338" s="5" t="s">
        <v>908</v>
      </c>
      <c r="L338" s="5"/>
    </row>
    <row r="339" customFormat="false" ht="15" hidden="false" customHeight="false" outlineLevel="0" collapsed="false">
      <c r="A339" s="5" t="s">
        <v>1004</v>
      </c>
      <c r="B339" s="5" t="n">
        <v>1</v>
      </c>
      <c r="C339" s="5" t="n">
        <v>1</v>
      </c>
      <c r="D339" s="5" t="n">
        <v>1</v>
      </c>
      <c r="E339" s="5"/>
      <c r="F339" s="5" t="n">
        <v>480</v>
      </c>
      <c r="G339" s="5"/>
      <c r="H339" s="5" t="s">
        <v>1395</v>
      </c>
      <c r="I339" s="5" t="s">
        <v>153</v>
      </c>
      <c r="J339" s="5"/>
      <c r="K339" s="5" t="s">
        <v>908</v>
      </c>
      <c r="L339" s="5"/>
    </row>
    <row r="340" customFormat="false" ht="15" hidden="false" customHeight="false" outlineLevel="0" collapsed="false">
      <c r="A340" s="5" t="s">
        <v>1007</v>
      </c>
      <c r="B340" s="5" t="n">
        <v>1</v>
      </c>
      <c r="C340" s="5" t="n">
        <v>1</v>
      </c>
      <c r="D340" s="5" t="n">
        <v>1</v>
      </c>
      <c r="E340" s="5"/>
      <c r="F340" s="5" t="n">
        <v>600</v>
      </c>
      <c r="G340" s="5"/>
      <c r="H340" s="5" t="s">
        <v>1396</v>
      </c>
      <c r="I340" s="5" t="s">
        <v>153</v>
      </c>
      <c r="J340" s="5"/>
      <c r="K340" s="5" t="s">
        <v>908</v>
      </c>
      <c r="L340" s="5"/>
    </row>
    <row r="341" customFormat="false" ht="15" hidden="false" customHeight="false" outlineLevel="0" collapsed="false">
      <c r="A341" s="5" t="s">
        <v>1011</v>
      </c>
      <c r="B341" s="5" t="n">
        <v>1</v>
      </c>
      <c r="C341" s="5" t="n">
        <v>1</v>
      </c>
      <c r="D341" s="5" t="n">
        <v>1</v>
      </c>
      <c r="E341" s="5"/>
      <c r="F341" s="5" t="n">
        <v>600</v>
      </c>
      <c r="G341" s="5"/>
      <c r="H341" s="5" t="s">
        <v>1397</v>
      </c>
      <c r="I341" s="5" t="s">
        <v>153</v>
      </c>
      <c r="J341" s="5"/>
      <c r="K341" s="5" t="s">
        <v>908</v>
      </c>
      <c r="L341" s="5"/>
    </row>
    <row r="342" customFormat="false" ht="15" hidden="false" customHeight="false" outlineLevel="0" collapsed="false">
      <c r="A342" s="5" t="s">
        <v>1014</v>
      </c>
      <c r="B342" s="5" t="n">
        <v>1</v>
      </c>
      <c r="C342" s="5" t="n">
        <v>1</v>
      </c>
      <c r="D342" s="5" t="n">
        <v>1</v>
      </c>
      <c r="E342" s="5"/>
      <c r="F342" s="5" t="n">
        <v>480</v>
      </c>
      <c r="G342" s="5"/>
      <c r="H342" s="5" t="s">
        <v>1398</v>
      </c>
      <c r="I342" s="5" t="s">
        <v>153</v>
      </c>
      <c r="J342" s="5"/>
      <c r="K342" s="5" t="s">
        <v>908</v>
      </c>
      <c r="L342" s="5"/>
    </row>
    <row r="343" customFormat="false" ht="15" hidden="false" customHeight="false" outlineLevel="0" collapsed="false">
      <c r="A343" s="5" t="s">
        <v>1017</v>
      </c>
      <c r="B343" s="5" t="n">
        <v>1</v>
      </c>
      <c r="C343" s="5" t="n">
        <v>1</v>
      </c>
      <c r="D343" s="5" t="n">
        <v>1</v>
      </c>
      <c r="E343" s="5"/>
      <c r="F343" s="5" t="n">
        <v>480</v>
      </c>
      <c r="G343" s="5"/>
      <c r="H343" s="5" t="s">
        <v>1399</v>
      </c>
      <c r="I343" s="5" t="s">
        <v>153</v>
      </c>
      <c r="J343" s="5"/>
      <c r="K343" s="5" t="s">
        <v>908</v>
      </c>
      <c r="L343" s="5"/>
    </row>
    <row r="344" customFormat="false" ht="15" hidden="false" customHeight="false" outlineLevel="0" collapsed="false">
      <c r="A344" s="5" t="s">
        <v>1020</v>
      </c>
      <c r="B344" s="5" t="n">
        <v>1</v>
      </c>
      <c r="C344" s="5" t="n">
        <v>1</v>
      </c>
      <c r="D344" s="5" t="n">
        <v>1</v>
      </c>
      <c r="E344" s="5"/>
      <c r="F344" s="5" t="n">
        <v>600</v>
      </c>
      <c r="G344" s="5"/>
      <c r="H344" s="5" t="s">
        <v>1400</v>
      </c>
      <c r="I344" s="5" t="s">
        <v>153</v>
      </c>
      <c r="J344" s="5"/>
      <c r="K344" s="5" t="s">
        <v>908</v>
      </c>
      <c r="L344" s="5"/>
    </row>
    <row r="345" customFormat="false" ht="15" hidden="false" customHeight="false" outlineLevel="0" collapsed="false">
      <c r="A345" s="5" t="s">
        <v>1023</v>
      </c>
      <c r="B345" s="5" t="n">
        <v>1</v>
      </c>
      <c r="C345" s="5" t="n">
        <v>1</v>
      </c>
      <c r="D345" s="5" t="n">
        <v>1</v>
      </c>
      <c r="E345" s="5"/>
      <c r="F345" s="5" t="n">
        <v>480</v>
      </c>
      <c r="G345" s="5"/>
      <c r="H345" s="5" t="s">
        <v>1401</v>
      </c>
      <c r="I345" s="5" t="s">
        <v>153</v>
      </c>
      <c r="J345" s="5"/>
      <c r="K345" s="5" t="s">
        <v>908</v>
      </c>
      <c r="L345" s="5"/>
    </row>
    <row r="346" customFormat="false" ht="15" hidden="false" customHeight="false" outlineLevel="0" collapsed="false">
      <c r="A346" s="5" t="s">
        <v>1026</v>
      </c>
      <c r="B346" s="5" t="n">
        <v>1</v>
      </c>
      <c r="C346" s="5" t="n">
        <v>1</v>
      </c>
      <c r="D346" s="5" t="n">
        <v>10</v>
      </c>
      <c r="E346" s="5" t="n">
        <v>15</v>
      </c>
      <c r="F346" s="5"/>
      <c r="G346" s="5" t="s">
        <v>916</v>
      </c>
      <c r="H346" s="5" t="s">
        <v>1402</v>
      </c>
      <c r="I346" s="5" t="s">
        <v>586</v>
      </c>
      <c r="J346" s="5" t="n">
        <v>45</v>
      </c>
      <c r="K346" s="5" t="s">
        <v>908</v>
      </c>
      <c r="L346" s="5"/>
    </row>
    <row r="347" customFormat="false" ht="15" hidden="false" customHeight="false" outlineLevel="0" collapsed="false">
      <c r="A347" s="5" t="s">
        <v>1029</v>
      </c>
      <c r="B347" s="5" t="n">
        <v>1</v>
      </c>
      <c r="C347" s="5" t="n">
        <v>1</v>
      </c>
      <c r="D347" s="5" t="n">
        <v>1</v>
      </c>
      <c r="E347" s="5"/>
      <c r="F347" s="5" t="n">
        <v>480</v>
      </c>
      <c r="G347" s="5"/>
      <c r="H347" s="5" t="s">
        <v>1403</v>
      </c>
      <c r="I347" s="5" t="s">
        <v>153</v>
      </c>
      <c r="J347" s="5"/>
      <c r="K347" s="5" t="s">
        <v>908</v>
      </c>
      <c r="L347" s="5"/>
    </row>
    <row r="348" customFormat="false" ht="15" hidden="false" customHeight="false" outlineLevel="0" collapsed="false">
      <c r="A348" s="5" t="s">
        <v>1032</v>
      </c>
      <c r="B348" s="5" t="n">
        <v>1</v>
      </c>
      <c r="C348" s="5" t="n">
        <v>1</v>
      </c>
      <c r="D348" s="5" t="n">
        <v>1</v>
      </c>
      <c r="E348" s="5"/>
      <c r="F348" s="5" t="n">
        <v>600</v>
      </c>
      <c r="G348" s="5"/>
      <c r="H348" s="5" t="s">
        <v>1404</v>
      </c>
      <c r="I348" s="5" t="s">
        <v>995</v>
      </c>
      <c r="J348" s="5"/>
      <c r="K348" s="5" t="s">
        <v>908</v>
      </c>
      <c r="L348" s="5"/>
    </row>
    <row r="349" customFormat="false" ht="15" hidden="false" customHeight="false" outlineLevel="0" collapsed="false">
      <c r="A349" s="5" t="s">
        <v>1035</v>
      </c>
      <c r="B349" s="5" t="n">
        <v>1</v>
      </c>
      <c r="C349" s="5" t="n">
        <v>1</v>
      </c>
      <c r="D349" s="5" t="n">
        <v>6</v>
      </c>
      <c r="E349" s="5"/>
      <c r="F349" s="5" t="n">
        <v>30</v>
      </c>
      <c r="G349" s="5"/>
      <c r="H349" s="5" t="s">
        <v>1405</v>
      </c>
      <c r="I349" s="5" t="s">
        <v>586</v>
      </c>
      <c r="J349" s="5" t="n">
        <v>30</v>
      </c>
      <c r="K349" s="5"/>
      <c r="L349" s="5"/>
    </row>
    <row r="350" customFormat="false" ht="15" hidden="false" customHeight="false" outlineLevel="0" collapsed="false">
      <c r="A350" s="5" t="s">
        <v>1040</v>
      </c>
      <c r="B350" s="5" t="n">
        <v>1</v>
      </c>
      <c r="C350" s="5" t="n">
        <v>1</v>
      </c>
      <c r="D350" s="5" t="n">
        <v>8</v>
      </c>
      <c r="E350" s="5"/>
      <c r="F350" s="5" t="n">
        <v>15</v>
      </c>
      <c r="G350" s="5"/>
      <c r="H350" s="5" t="s">
        <v>1406</v>
      </c>
      <c r="I350" s="5" t="s">
        <v>135</v>
      </c>
      <c r="J350" s="5" t="n">
        <v>30</v>
      </c>
      <c r="K350" s="5"/>
      <c r="L350" s="5"/>
    </row>
    <row r="351" customFormat="false" ht="15" hidden="false" customHeight="false" outlineLevel="0" collapsed="false">
      <c r="A351" s="5" t="s">
        <v>1043</v>
      </c>
      <c r="B351" s="5" t="n">
        <v>1</v>
      </c>
      <c r="C351" s="5" t="n">
        <v>1</v>
      </c>
      <c r="D351" s="5" t="n">
        <v>1</v>
      </c>
      <c r="E351" s="5"/>
      <c r="F351" s="5" t="n">
        <v>600</v>
      </c>
      <c r="G351" s="5"/>
      <c r="H351" s="5" t="s">
        <v>1407</v>
      </c>
      <c r="I351" s="5" t="s">
        <v>153</v>
      </c>
      <c r="J351" s="5"/>
      <c r="K351" s="5" t="s">
        <v>908</v>
      </c>
      <c r="L351" s="5"/>
    </row>
    <row r="352" customFormat="false" ht="15" hidden="false" customHeight="false" outlineLevel="0" collapsed="false">
      <c r="A352" s="5" t="s">
        <v>1046</v>
      </c>
      <c r="B352" s="5" t="n">
        <v>1</v>
      </c>
      <c r="C352" s="5" t="n">
        <v>1</v>
      </c>
      <c r="D352" s="5" t="n">
        <v>1</v>
      </c>
      <c r="E352" s="5"/>
      <c r="F352" s="5" t="n">
        <v>480</v>
      </c>
      <c r="G352" s="5"/>
      <c r="H352" s="5" t="s">
        <v>1408</v>
      </c>
      <c r="I352" s="5" t="s">
        <v>135</v>
      </c>
      <c r="J352" s="5"/>
      <c r="K352" s="5" t="s">
        <v>908</v>
      </c>
      <c r="L352" s="5"/>
    </row>
    <row r="353" customFormat="false" ht="15" hidden="false" customHeight="false" outlineLevel="0" collapsed="false">
      <c r="A353" s="5" t="s">
        <v>1049</v>
      </c>
      <c r="B353" s="5" t="n">
        <v>1</v>
      </c>
      <c r="C353" s="5" t="n">
        <v>1</v>
      </c>
      <c r="D353" s="5" t="n">
        <v>1</v>
      </c>
      <c r="E353" s="5"/>
      <c r="F353" s="5" t="n">
        <v>480</v>
      </c>
      <c r="G353" s="5"/>
      <c r="H353" s="5" t="s">
        <v>1409</v>
      </c>
      <c r="I353" s="5" t="s">
        <v>153</v>
      </c>
      <c r="J353" s="5"/>
      <c r="K353" s="5" t="s">
        <v>891</v>
      </c>
      <c r="L353" s="5"/>
    </row>
    <row r="354" customFormat="false" ht="15" hidden="false" customHeight="false" outlineLevel="0" collapsed="false">
      <c r="A354" s="5" t="s">
        <v>1052</v>
      </c>
      <c r="B354" s="5" t="n">
        <v>1</v>
      </c>
      <c r="C354" s="5" t="n">
        <v>1</v>
      </c>
      <c r="D354" s="5" t="n">
        <v>1</v>
      </c>
      <c r="E354" s="5"/>
      <c r="F354" s="5" t="n">
        <v>480</v>
      </c>
      <c r="G354" s="5"/>
      <c r="H354" s="5" t="s">
        <v>1410</v>
      </c>
      <c r="I354" s="5" t="s">
        <v>995</v>
      </c>
      <c r="J354" s="5"/>
      <c r="K354" s="5" t="s">
        <v>908</v>
      </c>
      <c r="L354" s="5"/>
    </row>
    <row r="355" customFormat="false" ht="15" hidden="false" customHeight="false" outlineLevel="0" collapsed="false">
      <c r="A355" s="5" t="s">
        <v>1055</v>
      </c>
      <c r="B355" s="5" t="n">
        <v>1</v>
      </c>
      <c r="C355" s="5" t="n">
        <v>1</v>
      </c>
      <c r="D355" s="5" t="n">
        <v>1</v>
      </c>
      <c r="E355" s="5"/>
      <c r="F355" s="5" t="n">
        <v>600</v>
      </c>
      <c r="G355" s="5"/>
      <c r="H355" s="5" t="s">
        <v>1411</v>
      </c>
      <c r="I355" s="5" t="s">
        <v>995</v>
      </c>
      <c r="J355" s="5"/>
      <c r="K355" s="5" t="s">
        <v>891</v>
      </c>
      <c r="L355" s="5"/>
    </row>
    <row r="356" customFormat="false" ht="15" hidden="false" customHeight="false" outlineLevel="0" collapsed="false">
      <c r="A356" s="5" t="s">
        <v>1059</v>
      </c>
      <c r="B356" s="5" t="n">
        <v>1</v>
      </c>
      <c r="C356" s="5" t="n">
        <v>1</v>
      </c>
      <c r="D356" s="5" t="n">
        <v>1</v>
      </c>
      <c r="E356" s="5"/>
      <c r="F356" s="5" t="n">
        <v>600</v>
      </c>
      <c r="G356" s="5"/>
      <c r="H356" s="5" t="s">
        <v>1412</v>
      </c>
      <c r="I356" s="5" t="s">
        <v>995</v>
      </c>
      <c r="J356" s="5"/>
      <c r="K356" s="5" t="s">
        <v>908</v>
      </c>
      <c r="L356" s="5"/>
    </row>
    <row r="357" customFormat="false" ht="15" hidden="false" customHeight="false" outlineLevel="0" collapsed="false">
      <c r="A357" s="5" t="s">
        <v>1062</v>
      </c>
      <c r="B357" s="5" t="n">
        <v>1</v>
      </c>
      <c r="C357" s="5" t="n">
        <v>1</v>
      </c>
      <c r="D357" s="5" t="n">
        <v>1</v>
      </c>
      <c r="E357" s="5"/>
      <c r="F357" s="5" t="n">
        <v>600</v>
      </c>
      <c r="G357" s="5"/>
      <c r="H357" s="5" t="s">
        <v>1413</v>
      </c>
      <c r="I357" s="5" t="s">
        <v>995</v>
      </c>
      <c r="J357" s="5"/>
      <c r="K357" s="5" t="s">
        <v>908</v>
      </c>
      <c r="L357" s="5"/>
    </row>
    <row r="358" customFormat="false" ht="15" hidden="false" customHeight="false" outlineLevel="0" collapsed="false">
      <c r="A358" s="5" t="s">
        <v>1065</v>
      </c>
      <c r="B358" s="5" t="n">
        <v>1</v>
      </c>
      <c r="C358" s="5" t="n">
        <v>1</v>
      </c>
      <c r="D358" s="5" t="n">
        <v>8</v>
      </c>
      <c r="E358" s="5" t="n">
        <v>25</v>
      </c>
      <c r="F358" s="5"/>
      <c r="G358" s="5" t="s">
        <v>916</v>
      </c>
      <c r="H358" s="5" t="s">
        <v>1414</v>
      </c>
      <c r="I358" s="5" t="s">
        <v>135</v>
      </c>
      <c r="J358" s="5" t="n">
        <v>40</v>
      </c>
      <c r="K358" s="5"/>
      <c r="L358" s="5"/>
    </row>
    <row r="359" customFormat="false" ht="15" hidden="false" customHeight="false" outlineLevel="0" collapsed="false">
      <c r="A359" s="5" t="s">
        <v>1068</v>
      </c>
      <c r="B359" s="5" t="n">
        <v>1</v>
      </c>
      <c r="C359" s="5" t="n">
        <v>1</v>
      </c>
      <c r="D359" s="5" t="n">
        <v>1</v>
      </c>
      <c r="E359" s="5"/>
      <c r="F359" s="5" t="n">
        <v>600</v>
      </c>
      <c r="G359" s="5"/>
      <c r="H359" s="5" t="s">
        <v>1415</v>
      </c>
      <c r="I359" s="5" t="s">
        <v>995</v>
      </c>
      <c r="J359" s="5"/>
      <c r="K359" s="5" t="s">
        <v>908</v>
      </c>
      <c r="L359" s="5"/>
    </row>
    <row r="360" customFormat="false" ht="15" hidden="false" customHeight="false" outlineLevel="0" collapsed="false">
      <c r="A360" s="5" t="s">
        <v>1071</v>
      </c>
      <c r="B360" s="5" t="n">
        <v>1</v>
      </c>
      <c r="C360" s="5" t="n">
        <v>1</v>
      </c>
      <c r="D360" s="5" t="n">
        <v>1</v>
      </c>
      <c r="E360" s="5"/>
      <c r="F360" s="5" t="n">
        <v>600</v>
      </c>
      <c r="G360" s="5"/>
      <c r="H360" s="5" t="s">
        <v>1416</v>
      </c>
      <c r="I360" s="5" t="s">
        <v>995</v>
      </c>
      <c r="J360" s="5"/>
      <c r="K360" s="5" t="s">
        <v>908</v>
      </c>
      <c r="L360" s="5"/>
    </row>
    <row r="361" customFormat="false" ht="15" hidden="false" customHeight="false" outlineLevel="0" collapsed="false">
      <c r="A361" s="5" t="s">
        <v>1075</v>
      </c>
      <c r="B361" s="5" t="n">
        <v>1</v>
      </c>
      <c r="C361" s="5" t="n">
        <v>1</v>
      </c>
      <c r="D361" s="5" t="n">
        <v>1</v>
      </c>
      <c r="E361" s="5"/>
      <c r="F361" s="5" t="n">
        <v>600</v>
      </c>
      <c r="G361" s="5"/>
      <c r="H361" s="5" t="s">
        <v>1417</v>
      </c>
      <c r="I361" s="5" t="s">
        <v>995</v>
      </c>
      <c r="J361" s="5"/>
      <c r="K361" s="5" t="s">
        <v>908</v>
      </c>
      <c r="L361" s="5"/>
    </row>
    <row r="362" customFormat="false" ht="15" hidden="false" customHeight="false" outlineLevel="0" collapsed="false">
      <c r="A362" s="5" t="s">
        <v>1078</v>
      </c>
      <c r="B362" s="5" t="n">
        <v>1</v>
      </c>
      <c r="C362" s="5" t="n">
        <v>1</v>
      </c>
      <c r="D362" s="5" t="n">
        <v>6</v>
      </c>
      <c r="E362" s="5"/>
      <c r="F362" s="5" t="n">
        <v>30</v>
      </c>
      <c r="G362" s="5"/>
      <c r="H362" s="5" t="s">
        <v>1418</v>
      </c>
      <c r="I362" s="5" t="s">
        <v>586</v>
      </c>
      <c r="J362" s="5" t="n">
        <v>30</v>
      </c>
      <c r="K362" s="5"/>
      <c r="L362" s="5"/>
    </row>
    <row r="363" customFormat="false" ht="15" hidden="false" customHeight="false" outlineLevel="0" collapsed="false">
      <c r="A363" s="5" t="s">
        <v>1081</v>
      </c>
      <c r="B363" s="5" t="n">
        <v>1</v>
      </c>
      <c r="C363" s="5" t="n">
        <v>1</v>
      </c>
      <c r="D363" s="5" t="n">
        <v>1</v>
      </c>
      <c r="E363" s="5"/>
      <c r="F363" s="5" t="n">
        <v>600</v>
      </c>
      <c r="G363" s="5"/>
      <c r="H363" s="5" t="s">
        <v>1419</v>
      </c>
      <c r="I363" s="5" t="s">
        <v>995</v>
      </c>
      <c r="J363" s="5"/>
      <c r="K363" s="5" t="s">
        <v>908</v>
      </c>
      <c r="L363" s="5"/>
    </row>
    <row r="364" customFormat="false" ht="15" hidden="false" customHeight="false" outlineLevel="0" collapsed="false">
      <c r="A364" s="5" t="s">
        <v>1084</v>
      </c>
      <c r="B364" s="5" t="n">
        <v>1</v>
      </c>
      <c r="C364" s="5" t="n">
        <v>1</v>
      </c>
      <c r="D364" s="5" t="n">
        <v>1</v>
      </c>
      <c r="E364" s="5"/>
      <c r="F364" s="5" t="n">
        <v>600</v>
      </c>
      <c r="G364" s="5"/>
      <c r="H364" s="5" t="s">
        <v>1420</v>
      </c>
      <c r="I364" s="5" t="s">
        <v>995</v>
      </c>
      <c r="J364" s="5"/>
      <c r="K364" s="5" t="s">
        <v>908</v>
      </c>
      <c r="L364" s="5"/>
    </row>
    <row r="365" customFormat="false" ht="15" hidden="false" customHeight="false" outlineLevel="0" collapsed="false">
      <c r="A365" s="5" t="s">
        <v>1087</v>
      </c>
      <c r="B365" s="5" t="n">
        <v>1</v>
      </c>
      <c r="C365" s="5" t="n">
        <v>1</v>
      </c>
      <c r="D365" s="5" t="n">
        <v>1</v>
      </c>
      <c r="E365" s="5"/>
      <c r="F365" s="5" t="n">
        <v>600</v>
      </c>
      <c r="G365" s="5"/>
      <c r="H365" s="5" t="s">
        <v>1421</v>
      </c>
      <c r="I365" s="5" t="s">
        <v>995</v>
      </c>
      <c r="J365" s="5"/>
      <c r="K365" s="5" t="s">
        <v>908</v>
      </c>
      <c r="L365" s="5"/>
    </row>
    <row r="366" customFormat="false" ht="15" hidden="false" customHeight="false" outlineLevel="0" collapsed="false">
      <c r="A366" s="5" t="s">
        <v>1090</v>
      </c>
      <c r="B366" s="5" t="n">
        <v>1</v>
      </c>
      <c r="C366" s="5" t="n">
        <v>1</v>
      </c>
      <c r="D366" s="5" t="n">
        <v>1</v>
      </c>
      <c r="E366" s="5"/>
      <c r="F366" s="5" t="n">
        <v>600</v>
      </c>
      <c r="G366" s="5"/>
      <c r="H366" s="5" t="s">
        <v>1422</v>
      </c>
      <c r="I366" s="5" t="s">
        <v>995</v>
      </c>
      <c r="J366" s="5"/>
      <c r="K366" s="5" t="s">
        <v>908</v>
      </c>
      <c r="L366" s="5"/>
    </row>
    <row r="367" customFormat="false" ht="15" hidden="false" customHeight="false" outlineLevel="0" collapsed="false">
      <c r="A367" s="5" t="s">
        <v>1093</v>
      </c>
      <c r="B367" s="5" t="n">
        <v>1</v>
      </c>
      <c r="C367" s="5" t="n">
        <v>1</v>
      </c>
      <c r="D367" s="5" t="n">
        <v>1</v>
      </c>
      <c r="E367" s="5"/>
      <c r="F367" s="5" t="n">
        <v>900</v>
      </c>
      <c r="G367" s="5"/>
      <c r="H367" s="5" t="s">
        <v>1423</v>
      </c>
      <c r="I367" s="5" t="s">
        <v>995</v>
      </c>
      <c r="J367" s="5"/>
      <c r="K367" s="5" t="s">
        <v>908</v>
      </c>
      <c r="L367" s="5"/>
    </row>
    <row r="368" customFormat="false" ht="15" hidden="false" customHeight="false" outlineLevel="0" collapsed="false">
      <c r="A368" s="5" t="s">
        <v>1097</v>
      </c>
      <c r="B368" s="5" t="n">
        <v>1</v>
      </c>
      <c r="C368" s="5" t="n">
        <v>1</v>
      </c>
      <c r="D368" s="5" t="n">
        <v>1</v>
      </c>
      <c r="E368" s="5"/>
      <c r="F368" s="5" t="n">
        <v>900</v>
      </c>
      <c r="G368" s="5"/>
      <c r="H368" s="5" t="s">
        <v>1424</v>
      </c>
      <c r="I368" s="5" t="s">
        <v>995</v>
      </c>
      <c r="J368" s="5"/>
      <c r="K368" s="5" t="s">
        <v>908</v>
      </c>
      <c r="L368" s="5"/>
    </row>
    <row r="369" customFormat="false" ht="15" hidden="false" customHeight="false" outlineLevel="0" collapsed="false">
      <c r="A369" s="5" t="s">
        <v>1100</v>
      </c>
      <c r="B369" s="5" t="n">
        <v>1</v>
      </c>
      <c r="C369" s="5" t="n">
        <v>1</v>
      </c>
      <c r="D369" s="5" t="n">
        <v>1</v>
      </c>
      <c r="E369" s="5"/>
      <c r="F369" s="5" t="n">
        <v>900</v>
      </c>
      <c r="G369" s="5"/>
      <c r="H369" s="5" t="s">
        <v>1425</v>
      </c>
      <c r="I369" s="5" t="s">
        <v>995</v>
      </c>
      <c r="J369" s="5"/>
      <c r="K369" s="5" t="s">
        <v>908</v>
      </c>
      <c r="L369" s="5"/>
    </row>
    <row r="370" customFormat="false" ht="15" hidden="false" customHeight="false" outlineLevel="0" collapsed="false">
      <c r="A370" s="5" t="s">
        <v>1103</v>
      </c>
      <c r="B370" s="5" t="n">
        <v>1</v>
      </c>
      <c r="C370" s="5" t="n">
        <v>1</v>
      </c>
      <c r="D370" s="5" t="n">
        <v>1</v>
      </c>
      <c r="E370" s="5"/>
      <c r="F370" s="5" t="n">
        <v>900</v>
      </c>
      <c r="G370" s="5"/>
      <c r="H370" s="5" t="s">
        <v>1426</v>
      </c>
      <c r="I370" s="5" t="s">
        <v>995</v>
      </c>
      <c r="J370" s="5"/>
      <c r="K370" s="5" t="s">
        <v>908</v>
      </c>
      <c r="L370" s="5"/>
    </row>
    <row r="371" customFormat="false" ht="15" hidden="false" customHeight="false" outlineLevel="0" collapsed="false">
      <c r="A371" s="5" t="s">
        <v>1106</v>
      </c>
      <c r="B371" s="5" t="n">
        <v>1</v>
      </c>
      <c r="C371" s="5" t="n">
        <v>1</v>
      </c>
      <c r="D371" s="5" t="n">
        <v>4</v>
      </c>
      <c r="E371" s="5"/>
      <c r="F371" s="5" t="n">
        <v>360</v>
      </c>
      <c r="G371" s="5"/>
      <c r="H371" s="5" t="s">
        <v>1427</v>
      </c>
      <c r="I371" s="5" t="s">
        <v>995</v>
      </c>
      <c r="J371" s="5" t="n">
        <v>120</v>
      </c>
      <c r="K371" s="5" t="s">
        <v>908</v>
      </c>
      <c r="L371" s="5"/>
    </row>
    <row r="372" customFormat="false" ht="15" hidden="false" customHeight="false" outlineLevel="0" collapsed="false">
      <c r="A372" s="5" t="s">
        <v>1109</v>
      </c>
      <c r="B372" s="5" t="n">
        <v>1</v>
      </c>
      <c r="C372" s="5" t="n">
        <v>1</v>
      </c>
      <c r="D372" s="5" t="n">
        <v>2</v>
      </c>
      <c r="E372" s="5"/>
      <c r="F372" s="5" t="n">
        <v>480</v>
      </c>
      <c r="G372" s="5"/>
      <c r="H372" s="5" t="s">
        <v>1428</v>
      </c>
      <c r="I372" s="5" t="s">
        <v>995</v>
      </c>
      <c r="J372" s="5" t="n">
        <v>120</v>
      </c>
      <c r="K372" s="5" t="s">
        <v>908</v>
      </c>
      <c r="L372" s="5"/>
    </row>
    <row r="373" customFormat="false" ht="15" hidden="false" customHeight="false" outlineLevel="0" collapsed="false">
      <c r="A373" s="5" t="s">
        <v>1112</v>
      </c>
      <c r="B373" s="5" t="n">
        <v>1</v>
      </c>
      <c r="C373" s="5" t="n">
        <v>1</v>
      </c>
      <c r="D373" s="5" t="n">
        <v>10</v>
      </c>
      <c r="E373" s="5" t="n">
        <v>15</v>
      </c>
      <c r="F373" s="5"/>
      <c r="G373" s="5" t="s">
        <v>916</v>
      </c>
      <c r="H373" s="5" t="s">
        <v>1429</v>
      </c>
      <c r="I373" s="5" t="s">
        <v>135</v>
      </c>
      <c r="J373" s="5" t="n">
        <v>30</v>
      </c>
      <c r="K373" s="5"/>
      <c r="L373" s="5"/>
    </row>
    <row r="374" customFormat="false" ht="15" hidden="false" customHeight="false" outlineLevel="0" collapsed="false">
      <c r="A374" s="5" t="s">
        <v>1116</v>
      </c>
      <c r="B374" s="5" t="n">
        <v>1</v>
      </c>
      <c r="C374" s="5" t="n">
        <v>1</v>
      </c>
      <c r="D374" s="5" t="n">
        <v>6</v>
      </c>
      <c r="E374" s="5"/>
      <c r="F374" s="5" t="n">
        <v>60</v>
      </c>
      <c r="G374" s="5"/>
      <c r="H374" s="5" t="s">
        <v>1430</v>
      </c>
      <c r="I374" s="5" t="s">
        <v>139</v>
      </c>
      <c r="J374" s="5" t="n">
        <v>20</v>
      </c>
      <c r="K374" s="5" t="s">
        <v>1119</v>
      </c>
      <c r="L374" s="5"/>
    </row>
    <row r="375" customFormat="false" ht="15" hidden="false" customHeight="false" outlineLevel="0" collapsed="false">
      <c r="A375" s="5" t="s">
        <v>1120</v>
      </c>
      <c r="B375" s="5" t="n">
        <v>1</v>
      </c>
      <c r="C375" s="5" t="n">
        <v>1</v>
      </c>
      <c r="D375" s="5" t="n">
        <v>8</v>
      </c>
      <c r="E375" s="5" t="n">
        <v>100</v>
      </c>
      <c r="F375" s="5"/>
      <c r="G375" s="5" t="s">
        <v>916</v>
      </c>
      <c r="H375" s="5" t="s">
        <v>1325</v>
      </c>
      <c r="I375" s="5" t="s">
        <v>108</v>
      </c>
      <c r="J375" s="5" t="n">
        <v>20</v>
      </c>
      <c r="K375" s="5"/>
      <c r="L375" s="5"/>
    </row>
    <row r="376" customFormat="false" ht="15" hidden="false" customHeight="false" outlineLevel="0" collapsed="false">
      <c r="A376" s="5" t="s">
        <v>1123</v>
      </c>
      <c r="B376" s="5" t="n">
        <v>1</v>
      </c>
      <c r="C376" s="5" t="n">
        <v>1</v>
      </c>
      <c r="D376" s="5" t="n">
        <v>6</v>
      </c>
      <c r="E376" s="5" t="n">
        <v>50</v>
      </c>
      <c r="F376" s="5"/>
      <c r="G376" s="5" t="s">
        <v>916</v>
      </c>
      <c r="H376" s="5" t="s">
        <v>1327</v>
      </c>
      <c r="I376" s="5" t="s">
        <v>586</v>
      </c>
      <c r="J376" s="5" t="n">
        <v>60</v>
      </c>
      <c r="K376" s="5"/>
      <c r="L376" s="5"/>
    </row>
    <row r="377" customFormat="false" ht="15" hidden="false" customHeight="false" outlineLevel="0" collapsed="false">
      <c r="A377" s="5" t="s">
        <v>1126</v>
      </c>
      <c r="B377" s="5" t="n">
        <v>1</v>
      </c>
      <c r="C377" s="5" t="n">
        <v>1</v>
      </c>
      <c r="D377" s="5" t="n">
        <v>10</v>
      </c>
      <c r="E377" s="5"/>
      <c r="F377" s="5" t="n">
        <v>30</v>
      </c>
      <c r="G377" s="5" t="s">
        <v>916</v>
      </c>
      <c r="H377" s="5" t="s">
        <v>1431</v>
      </c>
      <c r="I377" s="5" t="s">
        <v>139</v>
      </c>
      <c r="J377" s="5" t="n">
        <v>30</v>
      </c>
      <c r="K377" s="5"/>
      <c r="L377" s="5"/>
    </row>
    <row r="378" customFormat="false" ht="15" hidden="false" customHeight="false" outlineLevel="0" collapsed="false">
      <c r="A378" s="5" t="s">
        <v>1129</v>
      </c>
      <c r="B378" s="5" t="n">
        <v>1</v>
      </c>
      <c r="C378" s="5" t="n">
        <v>1</v>
      </c>
      <c r="D378" s="5" t="n">
        <v>1</v>
      </c>
      <c r="E378" s="5" t="n">
        <v>200</v>
      </c>
      <c r="F378" s="5"/>
      <c r="G378" s="5" t="s">
        <v>133</v>
      </c>
      <c r="H378" s="5" t="s">
        <v>1222</v>
      </c>
      <c r="I378" s="5" t="s">
        <v>37</v>
      </c>
      <c r="J378" s="5"/>
      <c r="K378" s="5"/>
      <c r="L378" s="5"/>
    </row>
    <row r="379" customFormat="false" ht="15" hidden="false" customHeight="false" outlineLevel="0" collapsed="false">
      <c r="A379" s="5" t="s">
        <v>1129</v>
      </c>
      <c r="B379" s="5" t="n">
        <v>2</v>
      </c>
      <c r="C379" s="5" t="n">
        <v>1</v>
      </c>
      <c r="D379" s="5" t="n">
        <v>1</v>
      </c>
      <c r="E379" s="5"/>
      <c r="F379" s="5" t="n">
        <v>300</v>
      </c>
      <c r="G379" s="5"/>
      <c r="H379" s="5" t="s">
        <v>1353</v>
      </c>
      <c r="I379" s="5" t="s">
        <v>37</v>
      </c>
      <c r="J379" s="5"/>
      <c r="K379" s="5"/>
      <c r="L379" s="5"/>
    </row>
    <row r="380" customFormat="false" ht="15" hidden="false" customHeight="false" outlineLevel="0" collapsed="false">
      <c r="A380" s="5" t="s">
        <v>1130</v>
      </c>
      <c r="B380" s="5" t="n">
        <v>1</v>
      </c>
      <c r="C380" s="5" t="n">
        <v>1</v>
      </c>
      <c r="D380" s="5" t="n">
        <v>1</v>
      </c>
      <c r="E380" s="5" t="n">
        <v>300</v>
      </c>
      <c r="F380" s="5"/>
      <c r="G380" s="5" t="s">
        <v>52</v>
      </c>
      <c r="H380" s="5" t="s">
        <v>1350</v>
      </c>
      <c r="I380" s="5" t="s">
        <v>37</v>
      </c>
      <c r="J380" s="5"/>
      <c r="K380" s="5"/>
      <c r="L380" s="5"/>
    </row>
    <row r="381" customFormat="false" ht="15" hidden="false" customHeight="false" outlineLevel="0" collapsed="false">
      <c r="A381" s="5" t="s">
        <v>1132</v>
      </c>
      <c r="B381" s="5" t="n">
        <v>1</v>
      </c>
      <c r="C381" s="5" t="n">
        <v>1</v>
      </c>
      <c r="D381" s="5" t="n">
        <v>3</v>
      </c>
      <c r="E381" s="5" t="n">
        <v>15</v>
      </c>
      <c r="F381" s="5"/>
      <c r="G381" s="5" t="s">
        <v>916</v>
      </c>
      <c r="H381" s="5" t="s">
        <v>1432</v>
      </c>
      <c r="I381" s="5" t="s">
        <v>842</v>
      </c>
      <c r="J381" s="5" t="n">
        <v>120</v>
      </c>
      <c r="K381" s="5"/>
      <c r="L381" s="5"/>
    </row>
    <row r="382" customFormat="false" ht="15" hidden="false" customHeight="false" outlineLevel="0" collapsed="false">
      <c r="A382" s="5" t="s">
        <v>1135</v>
      </c>
      <c r="B382" s="5" t="n">
        <v>1</v>
      </c>
      <c r="C382" s="5" t="n">
        <v>1</v>
      </c>
      <c r="D382" s="5" t="n">
        <v>1</v>
      </c>
      <c r="E382" s="5" t="n">
        <v>400</v>
      </c>
      <c r="F382" s="5"/>
      <c r="G382" s="5" t="s">
        <v>48</v>
      </c>
      <c r="H382" s="5" t="s">
        <v>1330</v>
      </c>
      <c r="I382" s="5" t="s">
        <v>842</v>
      </c>
      <c r="J382" s="5"/>
      <c r="K382" s="5"/>
      <c r="L382" s="5"/>
    </row>
    <row r="383" customFormat="false" ht="15" hidden="false" customHeight="false" outlineLevel="0" collapsed="false">
      <c r="A383" s="5" t="s">
        <v>1137</v>
      </c>
      <c r="B383" s="5" t="n">
        <v>1</v>
      </c>
      <c r="C383" s="5" t="n">
        <v>1</v>
      </c>
      <c r="D383" s="5" t="n">
        <v>1</v>
      </c>
      <c r="E383" s="5"/>
      <c r="F383" s="5" t="n">
        <v>60</v>
      </c>
      <c r="G383" s="5"/>
      <c r="H383" s="5" t="s">
        <v>1433</v>
      </c>
      <c r="I383" s="5" t="s">
        <v>842</v>
      </c>
      <c r="J383" s="5"/>
      <c r="K383" s="5"/>
      <c r="L383" s="5"/>
    </row>
    <row r="384" customFormat="false" ht="15" hidden="false" customHeight="false" outlineLevel="0" collapsed="false">
      <c r="A384" s="5" t="s">
        <v>1140</v>
      </c>
      <c r="B384" s="5" t="n">
        <v>1</v>
      </c>
      <c r="C384" s="5" t="n">
        <v>1</v>
      </c>
      <c r="D384" s="5" t="n">
        <v>10</v>
      </c>
      <c r="E384" s="5" t="n">
        <v>25</v>
      </c>
      <c r="F384" s="5"/>
      <c r="G384" s="5" t="s">
        <v>916</v>
      </c>
      <c r="H384" s="5" t="s">
        <v>1434</v>
      </c>
      <c r="I384" s="5" t="s">
        <v>842</v>
      </c>
      <c r="J384" s="5" t="n">
        <v>20</v>
      </c>
      <c r="K384" s="5"/>
      <c r="L384" s="5"/>
    </row>
    <row r="385" customFormat="false" ht="15" hidden="false" customHeight="false" outlineLevel="0" collapsed="false">
      <c r="A385" s="5" t="s">
        <v>1143</v>
      </c>
      <c r="B385" s="5" t="n">
        <v>1</v>
      </c>
      <c r="C385" s="5" t="n">
        <v>1</v>
      </c>
      <c r="D385" s="5" t="n">
        <v>1</v>
      </c>
      <c r="E385" s="5"/>
      <c r="F385" s="5" t="n">
        <v>300</v>
      </c>
      <c r="G385" s="5"/>
      <c r="H385" s="5" t="s">
        <v>1435</v>
      </c>
      <c r="I385" s="5" t="s">
        <v>842</v>
      </c>
      <c r="J385" s="5"/>
      <c r="K385" s="5" t="s">
        <v>908</v>
      </c>
      <c r="L385" s="5"/>
    </row>
    <row r="386" customFormat="false" ht="15" hidden="false" customHeight="false" outlineLevel="0" collapsed="false">
      <c r="A386" s="5" t="s">
        <v>1146</v>
      </c>
      <c r="B386" s="5" t="n">
        <v>1</v>
      </c>
      <c r="C386" s="5" t="n">
        <v>1</v>
      </c>
      <c r="D386" s="5" t="n">
        <v>1</v>
      </c>
      <c r="E386" s="5"/>
      <c r="F386" s="5" t="n">
        <v>600</v>
      </c>
      <c r="G386" s="5"/>
      <c r="H386" s="5" t="s">
        <v>1436</v>
      </c>
      <c r="I386" s="5" t="s">
        <v>153</v>
      </c>
      <c r="J386" s="5"/>
      <c r="K386" s="5" t="s">
        <v>1151</v>
      </c>
      <c r="L386" s="5"/>
    </row>
    <row r="387" customFormat="false" ht="15" hidden="false" customHeight="false" outlineLevel="0" collapsed="false">
      <c r="A387" s="5" t="s">
        <v>1152</v>
      </c>
      <c r="B387" s="5" t="n">
        <v>1</v>
      </c>
      <c r="C387" s="5" t="n">
        <v>1</v>
      </c>
      <c r="D387" s="5" t="n">
        <v>1</v>
      </c>
      <c r="E387" s="5"/>
      <c r="F387" s="5" t="n">
        <v>600</v>
      </c>
      <c r="G387" s="5"/>
      <c r="H387" s="5" t="s">
        <v>1437</v>
      </c>
      <c r="I387" s="5" t="s">
        <v>37</v>
      </c>
      <c r="J387" s="5"/>
      <c r="K387" s="5"/>
      <c r="L387" s="5"/>
    </row>
    <row r="388" customFormat="false" ht="15" hidden="false" customHeight="false" outlineLevel="0" collapsed="false">
      <c r="A388" s="5" t="s">
        <v>1155</v>
      </c>
      <c r="B388" s="5" t="n">
        <v>1</v>
      </c>
      <c r="C388" s="5" t="n">
        <v>1</v>
      </c>
      <c r="D388" s="5" t="n">
        <v>3</v>
      </c>
      <c r="E388" s="5"/>
      <c r="F388" s="5" t="n">
        <v>300</v>
      </c>
      <c r="G388" s="5"/>
      <c r="H388" s="5" t="s">
        <v>1438</v>
      </c>
      <c r="I388" s="5" t="s">
        <v>108</v>
      </c>
      <c r="J388" s="5" t="n">
        <v>60</v>
      </c>
      <c r="K388" s="5"/>
      <c r="L388" s="5"/>
    </row>
    <row r="389" customFormat="false" ht="15" hidden="false" customHeight="false" outlineLevel="0" collapsed="false">
      <c r="A389" s="5" t="s">
        <v>1158</v>
      </c>
      <c r="B389" s="5" t="n">
        <v>1</v>
      </c>
      <c r="C389" s="5" t="n">
        <v>1</v>
      </c>
      <c r="D389" s="5" t="n">
        <v>3</v>
      </c>
      <c r="E389" s="5"/>
      <c r="F389" s="5" t="n">
        <v>480</v>
      </c>
      <c r="G389" s="5"/>
      <c r="H389" s="5" t="s">
        <v>1439</v>
      </c>
      <c r="I389" s="5" t="s">
        <v>139</v>
      </c>
      <c r="J389" s="5" t="n">
        <v>90</v>
      </c>
      <c r="K389" s="5"/>
      <c r="L389" s="5"/>
    </row>
    <row r="390" customFormat="false" ht="15" hidden="false" customHeight="false" outlineLevel="0" collapsed="false">
      <c r="A390" s="5" t="s">
        <v>1161</v>
      </c>
      <c r="B390" s="5" t="n">
        <v>1</v>
      </c>
      <c r="C390" s="5" t="n">
        <v>1</v>
      </c>
      <c r="D390" s="5" t="n">
        <v>1</v>
      </c>
      <c r="E390" s="5"/>
      <c r="F390" s="5" t="n">
        <v>600</v>
      </c>
      <c r="G390" s="5"/>
      <c r="H390" s="5" t="s">
        <v>1440</v>
      </c>
      <c r="I390" s="5" t="s">
        <v>37</v>
      </c>
      <c r="J390" s="5"/>
      <c r="K390" s="5"/>
      <c r="L390" s="5"/>
    </row>
  </sheetData>
  <autoFilter ref="A1:L390"/>
  <dataValidations count="2">
    <dataValidation allowBlank="true" errorStyle="stop" operator="between" showDropDown="false" showErrorMessage="false" showInputMessage="false" sqref="G2:G1390" type="list">
      <formula1>Legenda!$M$2:$M$9</formula1>
      <formula2>0</formula2>
    </dataValidation>
    <dataValidation allowBlank="true" errorStyle="stop" operator="between" showDropDown="false" showErrorMessage="false" showInputMessage="false" sqref="I2:I1390" type="list">
      <formula1>Legenda!$O$2:$O$12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2026-10-03T12:27:25Z</dcterms:created>
  <dc:creator>openpyxl</dc:creator>
  <dc:description/>
  <dc:language>en-US</dc:language>
  <cp:lastModifiedBy/>
  <dcterms:modified xsi:type="dcterms:W3CDTF">2026-10-03T12:27:25Z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